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oscar_robayo_jardinesdechia_com/Documents/Escritorio/ForeCast/"/>
    </mc:Choice>
  </mc:AlternateContent>
  <xr:revisionPtr revIDLastSave="4079" documentId="8_{5532A463-4976-4DD3-B814-4AFBFBBC71ED}" xr6:coauthVersionLast="47" xr6:coauthVersionMax="47" xr10:uidLastSave="{04B028A3-EDE9-473E-8429-4056E7C0A194}"/>
  <bookViews>
    <workbookView xWindow="-110" yWindow="-110" windowWidth="19420" windowHeight="10300" xr2:uid="{A6375D13-7BEA-48DB-B6E1-4405398FF084}"/>
  </bookViews>
  <sheets>
    <sheet name="Siembras" sheetId="4" r:id="rId1"/>
    <sheet name="Inicio" sheetId="7" r:id="rId2"/>
    <sheet name="Plantilla Siembras" sheetId="3" state="veryHidden" r:id="rId3"/>
    <sheet name="Informacion_Camas" sheetId="5" state="veryHidden" r:id="rId4"/>
    <sheet name="Datos_Base" sheetId="1" state="veryHidden" r:id="rId5"/>
  </sheets>
  <definedNames>
    <definedName name="_xleta.IF" hidden="1" xlm="1">#NAME?</definedName>
    <definedName name="_xleta.MATCH" hidden="1" xlm="1">#NAME?</definedName>
    <definedName name="_xleta.MAX" hidden="1" xlm="1">#NAME?</definedName>
    <definedName name="_xleta.OR" hidden="1" xlm="1">#NAME?</definedName>
    <definedName name="_xleta.T" hidden="1" xlm="1">#NAME?</definedName>
    <definedName name="_xleta.VLOOKUP" hidden="1" xlm="1">#NAME?</definedName>
    <definedName name="_xleta.XLOOKUP" hidden="1" xlm="1">#NAME?</definedName>
    <definedName name="AcumActual">#REF!</definedName>
    <definedName name="AcumAnt">#REF!</definedName>
    <definedName name="AcumAnt2">#REF!</definedName>
    <definedName name="AcumAnt3">#REF!</definedName>
    <definedName name="Año">#REF!</definedName>
    <definedName name="añoAnt">#REF!</definedName>
    <definedName name="añoAnt2">#REF!</definedName>
    <definedName name="añoAnt3">#REF!</definedName>
    <definedName name="APLICAB91">#REF!</definedName>
    <definedName name="APLICAB92">#REF!</definedName>
    <definedName name="APLICAB93">#REF!</definedName>
    <definedName name="_xlnm.Print_Area" localSheetId="3">Informacion_Camas!$A$1:$XCK$1153</definedName>
    <definedName name="AreaCub">#REF!</definedName>
    <definedName name="AreaProd">#REF!</definedName>
    <definedName name="AreaTotal">#REF!</definedName>
    <definedName name="AyV">#REF!</definedName>
    <definedName name="AyVactual">#REF!</definedName>
    <definedName name="AyVant">#REF!</definedName>
    <definedName name="AyVant2">#REF!</definedName>
    <definedName name="AyVant3">#REF!</definedName>
    <definedName name="AyVfcaActual">#REF!</definedName>
    <definedName name="AyVfcaAnt">#REF!</definedName>
    <definedName name="AyVfcaAnt2">#REF!</definedName>
    <definedName name="AyVfcaAnt3">#REF!</definedName>
    <definedName name="AyVupActual">#REF!</definedName>
    <definedName name="AyVupAnt">#REF!</definedName>
    <definedName name="AyVupAnt2">#REF!</definedName>
    <definedName name="AyVupAnt3">#REF!</definedName>
    <definedName name="B1_">#REF!</definedName>
    <definedName name="B2_">#REF!</definedName>
    <definedName name="B3_">#REF!</definedName>
    <definedName name="B9_1">#REF!</definedName>
    <definedName name="B9_2">#REF!</definedName>
    <definedName name="B9_3">#REF!</definedName>
    <definedName name="B9LUZ">#REF!</definedName>
    <definedName name="BARIEDADESB9">#REF!</definedName>
    <definedName name="BARRAS">#REF!</definedName>
    <definedName name="cama_id">#REF!</definedName>
    <definedName name="ColumnaConcepto">#REF!</definedName>
    <definedName name="ColumnConcepto">#REF!</definedName>
    <definedName name="conexion">#REF!</definedName>
    <definedName name="Desbotone">#REF!</definedName>
    <definedName name="Dolares">#REF!</definedName>
    <definedName name="Ejecucion">#REF!</definedName>
    <definedName name="Empresa">#REF!</definedName>
    <definedName name="Empresas">#REF!</definedName>
    <definedName name="FcaAcumActual">#REF!</definedName>
    <definedName name="FcaAcumAnt">#REF!</definedName>
    <definedName name="FcaAcumAnt2">#REF!</definedName>
    <definedName name="FcaAcumAnt3">#REF!</definedName>
    <definedName name="FcaAñoAnt">#REF!</definedName>
    <definedName name="FcaAñoAnt2">#REF!</definedName>
    <definedName name="FcaAñoAnt3">#REF!</definedName>
    <definedName name="FcaMes">#REF!</definedName>
    <definedName name="FcaMesAnt">#REF!</definedName>
    <definedName name="FcaMesAnt2">#REF!</definedName>
    <definedName name="FcaMesAnt3">#REF!</definedName>
    <definedName name="FcaPeriodoActual">#REF!</definedName>
    <definedName name="FcaSede">#REF!</definedName>
    <definedName name="fechas">#REF!</definedName>
    <definedName name="fiestas">#REF!</definedName>
    <definedName name="FIN">#REF!</definedName>
    <definedName name="finb4">#REF!</definedName>
    <definedName name="Finca">#REF!</definedName>
    <definedName name="FLOR">#REF!</definedName>
    <definedName name="GtsProdYmo">#REF!</definedName>
    <definedName name="hibridador">#REF!</definedName>
    <definedName name="Ingresos">#REF!</definedName>
    <definedName name="INICIO">#REF!</definedName>
    <definedName name="iniciob4">#REF!</definedName>
    <definedName name="ListaConcepto">#REF!</definedName>
    <definedName name="ListaProds">#REF!</definedName>
    <definedName name="ListConcepto">#REF!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uz">#REF!</definedName>
    <definedName name="Mes">#REF!</definedName>
    <definedName name="MesActual">#REF!</definedName>
    <definedName name="MesAnt">#REF!</definedName>
    <definedName name="MesAnt2">#REF!</definedName>
    <definedName name="MesAnt3">#REF!</definedName>
    <definedName name="NumProdsFca">#REF!</definedName>
    <definedName name="Periodo_Actual">#REF!</definedName>
    <definedName name="PIKO">#REF!</definedName>
    <definedName name="ProdAcumActual">#REF!</definedName>
    <definedName name="ProdAcumAnt">#REF!</definedName>
    <definedName name="ProdAcumAnt2">#REF!</definedName>
    <definedName name="ProdAcumAnt3">#REF!</definedName>
    <definedName name="ProdAñoAnt">#REF!</definedName>
    <definedName name="ProdAñoAnt2">#REF!</definedName>
    <definedName name="ProdAñoAnt3">#REF!</definedName>
    <definedName name="ProdAyVactual">#REF!</definedName>
    <definedName name="ProdAyVant">#REF!</definedName>
    <definedName name="ProdAyVant2">#REF!</definedName>
    <definedName name="ProdAyVant3">#REF!</definedName>
    <definedName name="ProdMes">#REF!</definedName>
    <definedName name="ProdMesAnt">#REF!</definedName>
    <definedName name="ProdMesAnt2">#REF!</definedName>
    <definedName name="ProdMesAnt3">#REF!</definedName>
    <definedName name="ProdPeriodoActual">#REF!</definedName>
    <definedName name="Productiva">#REF!</definedName>
    <definedName name="Producto">#REF!</definedName>
    <definedName name="Productos">#REF!</definedName>
    <definedName name="ProductoUPs">#REF!</definedName>
    <definedName name="ReinvDif">#REF!</definedName>
    <definedName name="Reinversiones">#REF!</definedName>
    <definedName name="ReinvND">#REF!</definedName>
    <definedName name="Ruta_Carpeta">Inicio!$C$4</definedName>
    <definedName name="Sede">#REF!</definedName>
    <definedName name="SedeAll">#REF!</definedName>
    <definedName name="SEDES">#REF!</definedName>
    <definedName name="SEMANA1">#REF!</definedName>
    <definedName name="SEMANA2">#REF!</definedName>
    <definedName name="SEMANACALENDARIO">#REF!</definedName>
    <definedName name="Sistema">#REF!</definedName>
    <definedName name="Sucursal">#REF!</definedName>
    <definedName name="SucursalFL">#REF!</definedName>
    <definedName name="TablaReinvDif">#REF!</definedName>
    <definedName name="TablaReinvND">#REF!</definedName>
    <definedName name="TIPO">#REF!</definedName>
    <definedName name="TipoArea">#REF!</definedName>
    <definedName name="Unidades">#REF!</definedName>
    <definedName name="var4inicio">#REF!</definedName>
    <definedName name="varb4">#REF!</definedName>
    <definedName name="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" i="4" l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A4" i="3" l="1"/>
  <c r="F4" i="3" s="1"/>
  <c r="A5" i="3"/>
  <c r="F5" i="3" s="1"/>
  <c r="A6" i="3"/>
  <c r="F6" i="3" s="1"/>
  <c r="A7" i="3"/>
  <c r="F7" i="3" s="1"/>
  <c r="A8" i="3"/>
  <c r="F8" i="3" s="1"/>
  <c r="A9" i="3"/>
  <c r="F9" i="3" s="1"/>
  <c r="A10" i="3"/>
  <c r="F10" i="3" s="1"/>
  <c r="A11" i="3"/>
  <c r="F11" i="3" s="1"/>
  <c r="A12" i="3"/>
  <c r="F12" i="3" s="1"/>
  <c r="A13" i="3"/>
  <c r="F13" i="3" s="1"/>
  <c r="A14" i="3"/>
  <c r="F14" i="3" s="1"/>
  <c r="A15" i="3"/>
  <c r="F15" i="3" s="1"/>
  <c r="A16" i="3"/>
  <c r="F16" i="3" s="1"/>
  <c r="A17" i="3"/>
  <c r="F17" i="3" s="1"/>
  <c r="A18" i="3"/>
  <c r="F18" i="3" s="1"/>
  <c r="A19" i="3"/>
  <c r="F19" i="3" s="1"/>
  <c r="A20" i="3"/>
  <c r="F20" i="3" s="1"/>
  <c r="A21" i="3"/>
  <c r="F21" i="3" s="1"/>
  <c r="A22" i="3"/>
  <c r="F22" i="3" s="1"/>
  <c r="A23" i="3"/>
  <c r="F23" i="3" s="1"/>
  <c r="A24" i="3"/>
  <c r="F24" i="3" s="1"/>
  <c r="A25" i="3"/>
  <c r="F25" i="3" s="1"/>
  <c r="A26" i="3"/>
  <c r="F26" i="3" s="1"/>
  <c r="A27" i="3"/>
  <c r="F27" i="3" s="1"/>
  <c r="A28" i="3"/>
  <c r="F28" i="3" s="1"/>
  <c r="A29" i="3"/>
  <c r="F29" i="3" s="1"/>
  <c r="A30" i="3"/>
  <c r="F30" i="3" s="1"/>
  <c r="A31" i="3"/>
  <c r="F31" i="3" s="1"/>
  <c r="A32" i="3"/>
  <c r="F32" i="3" s="1"/>
  <c r="A33" i="3"/>
  <c r="F33" i="3" s="1"/>
  <c r="A34" i="3"/>
  <c r="F34" i="3" s="1"/>
  <c r="A35" i="3"/>
  <c r="F35" i="3" s="1"/>
  <c r="A36" i="3"/>
  <c r="F36" i="3" s="1"/>
  <c r="A37" i="3"/>
  <c r="F37" i="3" s="1"/>
  <c r="A38" i="3"/>
  <c r="F38" i="3" s="1"/>
  <c r="A39" i="3"/>
  <c r="F39" i="3" s="1"/>
  <c r="A40" i="3"/>
  <c r="F40" i="3" s="1"/>
  <c r="A41" i="3"/>
  <c r="F41" i="3" s="1"/>
  <c r="A42" i="3"/>
  <c r="F42" i="3" s="1"/>
  <c r="A43" i="3"/>
  <c r="F43" i="3" s="1"/>
  <c r="A44" i="3"/>
  <c r="F44" i="3" s="1"/>
  <c r="A45" i="3"/>
  <c r="F45" i="3" s="1"/>
  <c r="A46" i="3"/>
  <c r="F46" i="3" s="1"/>
  <c r="A47" i="3"/>
  <c r="F47" i="3" s="1"/>
  <c r="A48" i="3"/>
  <c r="F48" i="3" s="1"/>
  <c r="A49" i="3"/>
  <c r="F49" i="3" s="1"/>
  <c r="A50" i="3"/>
  <c r="F50" i="3" s="1"/>
  <c r="A51" i="3"/>
  <c r="F51" i="3" s="1"/>
  <c r="A52" i="3"/>
  <c r="F52" i="3" s="1"/>
  <c r="A53" i="3"/>
  <c r="F53" i="3" s="1"/>
  <c r="A54" i="3"/>
  <c r="F54" i="3" s="1"/>
  <c r="A55" i="3"/>
  <c r="F55" i="3" s="1"/>
  <c r="A56" i="3"/>
  <c r="F56" i="3" s="1"/>
  <c r="A57" i="3"/>
  <c r="F57" i="3" s="1"/>
  <c r="A58" i="3"/>
  <c r="F58" i="3" s="1"/>
  <c r="A59" i="3"/>
  <c r="F59" i="3" s="1"/>
  <c r="A60" i="3"/>
  <c r="F60" i="3" s="1"/>
  <c r="A61" i="3"/>
  <c r="F61" i="3" s="1"/>
  <c r="A62" i="3"/>
  <c r="F62" i="3" s="1"/>
  <c r="A63" i="3"/>
  <c r="F63" i="3" s="1"/>
  <c r="A64" i="3"/>
  <c r="F64" i="3" s="1"/>
  <c r="A65" i="3"/>
  <c r="F65" i="3" s="1"/>
  <c r="A66" i="3"/>
  <c r="F66" i="3" s="1"/>
  <c r="A67" i="3"/>
  <c r="F67" i="3" s="1"/>
  <c r="A68" i="3"/>
  <c r="F68" i="3" s="1"/>
  <c r="A69" i="3"/>
  <c r="F69" i="3" s="1"/>
  <c r="A70" i="3"/>
  <c r="F70" i="3" s="1"/>
  <c r="A71" i="3"/>
  <c r="F71" i="3" s="1"/>
  <c r="A72" i="3"/>
  <c r="F72" i="3" s="1"/>
  <c r="A73" i="3"/>
  <c r="F73" i="3" s="1"/>
  <c r="A74" i="3"/>
  <c r="F74" i="3" s="1"/>
  <c r="A75" i="3"/>
  <c r="F75" i="3" s="1"/>
  <c r="A76" i="3"/>
  <c r="F76" i="3" s="1"/>
  <c r="A77" i="3"/>
  <c r="F77" i="3" s="1"/>
  <c r="A78" i="3"/>
  <c r="F78" i="3" s="1"/>
  <c r="A79" i="3"/>
  <c r="F79" i="3" s="1"/>
  <c r="A80" i="3"/>
  <c r="F80" i="3" s="1"/>
  <c r="A81" i="3"/>
  <c r="F81" i="3" s="1"/>
  <c r="A82" i="3"/>
  <c r="F82" i="3" s="1"/>
  <c r="A83" i="3"/>
  <c r="F83" i="3" s="1"/>
  <c r="A84" i="3"/>
  <c r="F84" i="3" s="1"/>
  <c r="A85" i="3"/>
  <c r="F85" i="3" s="1"/>
  <c r="A86" i="3"/>
  <c r="F86" i="3" s="1"/>
  <c r="A87" i="3"/>
  <c r="F87" i="3" s="1"/>
  <c r="A88" i="3"/>
  <c r="F88" i="3" s="1"/>
  <c r="A89" i="3"/>
  <c r="F89" i="3" s="1"/>
  <c r="A90" i="3"/>
  <c r="F90" i="3" s="1"/>
  <c r="A91" i="3"/>
  <c r="F91" i="3" s="1"/>
  <c r="A92" i="3"/>
  <c r="F92" i="3" s="1"/>
  <c r="A93" i="3"/>
  <c r="F93" i="3" s="1"/>
  <c r="A94" i="3"/>
  <c r="F94" i="3" s="1"/>
  <c r="A95" i="3"/>
  <c r="F95" i="3" s="1"/>
  <c r="A96" i="3"/>
  <c r="F96" i="3" s="1"/>
  <c r="A97" i="3"/>
  <c r="F97" i="3" s="1"/>
  <c r="A98" i="3"/>
  <c r="F98" i="3" s="1"/>
  <c r="A99" i="3"/>
  <c r="F99" i="3" s="1"/>
  <c r="A100" i="3"/>
  <c r="F100" i="3" s="1"/>
  <c r="A101" i="3"/>
  <c r="F101" i="3" s="1"/>
  <c r="A102" i="3"/>
  <c r="F102" i="3" s="1"/>
  <c r="A103" i="3"/>
  <c r="F103" i="3" s="1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G100" i="4"/>
  <c r="D102" i="3" s="1"/>
  <c r="G99" i="4"/>
  <c r="D101" i="3" s="1"/>
  <c r="G98" i="4"/>
  <c r="D100" i="3" s="1"/>
  <c r="G97" i="4"/>
  <c r="D99" i="3" s="1"/>
  <c r="G96" i="4"/>
  <c r="D98" i="3" s="1"/>
  <c r="G95" i="4"/>
  <c r="D97" i="3" s="1"/>
  <c r="G94" i="4"/>
  <c r="D96" i="3" s="1"/>
  <c r="G93" i="4"/>
  <c r="D95" i="3" s="1"/>
  <c r="G92" i="4"/>
  <c r="D94" i="3" s="1"/>
  <c r="G91" i="4"/>
  <c r="D93" i="3" s="1"/>
  <c r="G90" i="4"/>
  <c r="D92" i="3" s="1"/>
  <c r="G89" i="4"/>
  <c r="D91" i="3" s="1"/>
  <c r="G88" i="4"/>
  <c r="D90" i="3" s="1"/>
  <c r="G87" i="4"/>
  <c r="D89" i="3" s="1"/>
  <c r="G86" i="4"/>
  <c r="D88" i="3" s="1"/>
  <c r="G85" i="4"/>
  <c r="D87" i="3" s="1"/>
  <c r="G84" i="4"/>
  <c r="D86" i="3" s="1"/>
  <c r="G83" i="4"/>
  <c r="D85" i="3" s="1"/>
  <c r="G82" i="4"/>
  <c r="D84" i="3" s="1"/>
  <c r="G81" i="4"/>
  <c r="D83" i="3" s="1"/>
  <c r="G80" i="4"/>
  <c r="D82" i="3" s="1"/>
  <c r="G79" i="4"/>
  <c r="D81" i="3" s="1"/>
  <c r="G78" i="4"/>
  <c r="D80" i="3" s="1"/>
  <c r="G77" i="4"/>
  <c r="D79" i="3" s="1"/>
  <c r="G76" i="4"/>
  <c r="D78" i="3" s="1"/>
  <c r="G75" i="4"/>
  <c r="D77" i="3" s="1"/>
  <c r="G74" i="4"/>
  <c r="D76" i="3" s="1"/>
  <c r="G73" i="4"/>
  <c r="D75" i="3" s="1"/>
  <c r="G72" i="4"/>
  <c r="D74" i="3" s="1"/>
  <c r="G71" i="4"/>
  <c r="D73" i="3" s="1"/>
  <c r="G70" i="4"/>
  <c r="D72" i="3" s="1"/>
  <c r="G69" i="4"/>
  <c r="D71" i="3" s="1"/>
  <c r="G68" i="4"/>
  <c r="D70" i="3" s="1"/>
  <c r="G67" i="4"/>
  <c r="D69" i="3" s="1"/>
  <c r="G66" i="4"/>
  <c r="D68" i="3" s="1"/>
  <c r="G65" i="4"/>
  <c r="D67" i="3" s="1"/>
  <c r="G64" i="4"/>
  <c r="D66" i="3" s="1"/>
  <c r="G63" i="4"/>
  <c r="D65" i="3" s="1"/>
  <c r="G62" i="4"/>
  <c r="D64" i="3" s="1"/>
  <c r="G61" i="4"/>
  <c r="D63" i="3" s="1"/>
  <c r="G60" i="4"/>
  <c r="D62" i="3" s="1"/>
  <c r="G59" i="4"/>
  <c r="D61" i="3" s="1"/>
  <c r="G58" i="4"/>
  <c r="D60" i="3" s="1"/>
  <c r="G57" i="4"/>
  <c r="D59" i="3" s="1"/>
  <c r="G56" i="4"/>
  <c r="D58" i="3" s="1"/>
  <c r="G55" i="4"/>
  <c r="D57" i="3" s="1"/>
  <c r="G54" i="4"/>
  <c r="D56" i="3" s="1"/>
  <c r="G53" i="4"/>
  <c r="D55" i="3" s="1"/>
  <c r="G52" i="4"/>
  <c r="D54" i="3" s="1"/>
  <c r="G51" i="4"/>
  <c r="D53" i="3" s="1"/>
  <c r="G50" i="4"/>
  <c r="D52" i="3" s="1"/>
  <c r="G49" i="4"/>
  <c r="D51" i="3" s="1"/>
  <c r="G48" i="4"/>
  <c r="D50" i="3" s="1"/>
  <c r="G47" i="4"/>
  <c r="D49" i="3" s="1"/>
  <c r="G46" i="4"/>
  <c r="D48" i="3" s="1"/>
  <c r="G43" i="4"/>
  <c r="D45" i="3" s="1"/>
  <c r="G40" i="4"/>
  <c r="D42" i="3" s="1"/>
  <c r="G39" i="4"/>
  <c r="D41" i="3" s="1"/>
  <c r="G38" i="4"/>
  <c r="D40" i="3" s="1"/>
  <c r="G37" i="4"/>
  <c r="D39" i="3" s="1"/>
  <c r="G36" i="4"/>
  <c r="D38" i="3" s="1"/>
  <c r="G35" i="4"/>
  <c r="D37" i="3" s="1"/>
  <c r="G34" i="4"/>
  <c r="D36" i="3" s="1"/>
  <c r="G33" i="4"/>
  <c r="D35" i="3" s="1"/>
  <c r="G32" i="4"/>
  <c r="D34" i="3" s="1"/>
  <c r="G31" i="4"/>
  <c r="D33" i="3" s="1"/>
  <c r="G30" i="4"/>
  <c r="D32" i="3" s="1"/>
  <c r="G29" i="4"/>
  <c r="D31" i="3" s="1"/>
  <c r="G28" i="4"/>
  <c r="D30" i="3" s="1"/>
  <c r="G27" i="4"/>
  <c r="D29" i="3" s="1"/>
  <c r="G26" i="4"/>
  <c r="D28" i="3" s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D103" i="3"/>
  <c r="E4" i="3"/>
  <c r="H4" i="3" s="1"/>
  <c r="E5" i="3"/>
  <c r="H5" i="3" s="1"/>
  <c r="E6" i="3"/>
  <c r="H6" i="3" s="1"/>
  <c r="E7" i="3"/>
  <c r="H7" i="3" s="1"/>
  <c r="E8" i="3"/>
  <c r="H8" i="3" s="1"/>
  <c r="E9" i="3"/>
  <c r="H9" i="3" s="1"/>
  <c r="E10" i="3"/>
  <c r="H10" i="3" s="1"/>
  <c r="E11" i="3"/>
  <c r="H11" i="3" s="1"/>
  <c r="E12" i="3"/>
  <c r="H12" i="3" s="1"/>
  <c r="E13" i="3"/>
  <c r="H13" i="3" s="1"/>
  <c r="E14" i="3"/>
  <c r="H14" i="3" s="1"/>
  <c r="E15" i="3"/>
  <c r="H15" i="3" s="1"/>
  <c r="E16" i="3"/>
  <c r="H16" i="3" s="1"/>
  <c r="E17" i="3"/>
  <c r="H17" i="3" s="1"/>
  <c r="E18" i="3"/>
  <c r="H18" i="3" s="1"/>
  <c r="E19" i="3"/>
  <c r="H19" i="3" s="1"/>
  <c r="E20" i="3"/>
  <c r="H20" i="3" s="1"/>
  <c r="E21" i="3"/>
  <c r="H21" i="3" s="1"/>
  <c r="E22" i="3"/>
  <c r="H22" i="3" s="1"/>
  <c r="E23" i="3"/>
  <c r="H23" i="3" s="1"/>
  <c r="E24" i="3"/>
  <c r="H24" i="3" s="1"/>
  <c r="E25" i="3"/>
  <c r="H25" i="3" s="1"/>
  <c r="E26" i="3"/>
  <c r="H26" i="3" s="1"/>
  <c r="E27" i="3"/>
  <c r="H27" i="3" s="1"/>
  <c r="E28" i="3"/>
  <c r="H28" i="3" s="1"/>
  <c r="E29" i="3"/>
  <c r="H29" i="3" s="1"/>
  <c r="E30" i="3"/>
  <c r="H30" i="3" s="1"/>
  <c r="E31" i="3"/>
  <c r="H31" i="3" s="1"/>
  <c r="E32" i="3"/>
  <c r="H32" i="3" s="1"/>
  <c r="E33" i="3"/>
  <c r="H33" i="3" s="1"/>
  <c r="E34" i="3"/>
  <c r="H34" i="3" s="1"/>
  <c r="E35" i="3"/>
  <c r="H35" i="3" s="1"/>
  <c r="E36" i="3"/>
  <c r="H36" i="3" s="1"/>
  <c r="E37" i="3"/>
  <c r="H37" i="3" s="1"/>
  <c r="E38" i="3"/>
  <c r="H38" i="3" s="1"/>
  <c r="E39" i="3"/>
  <c r="H39" i="3" s="1"/>
  <c r="E40" i="3"/>
  <c r="H40" i="3" s="1"/>
  <c r="E41" i="3"/>
  <c r="H41" i="3" s="1"/>
  <c r="E42" i="3"/>
  <c r="H42" i="3" s="1"/>
  <c r="E43" i="3"/>
  <c r="H43" i="3" s="1"/>
  <c r="E44" i="3"/>
  <c r="H44" i="3" s="1"/>
  <c r="E45" i="3"/>
  <c r="H45" i="3" s="1"/>
  <c r="E46" i="3"/>
  <c r="H46" i="3" s="1"/>
  <c r="E47" i="3"/>
  <c r="H47" i="3" s="1"/>
  <c r="E48" i="3"/>
  <c r="H48" i="3" s="1"/>
  <c r="E49" i="3"/>
  <c r="H49" i="3" s="1"/>
  <c r="E50" i="3"/>
  <c r="H50" i="3" s="1"/>
  <c r="E51" i="3"/>
  <c r="H51" i="3" s="1"/>
  <c r="E52" i="3"/>
  <c r="H52" i="3" s="1"/>
  <c r="E53" i="3"/>
  <c r="H53" i="3" s="1"/>
  <c r="E54" i="3"/>
  <c r="H54" i="3" s="1"/>
  <c r="E55" i="3"/>
  <c r="H55" i="3" s="1"/>
  <c r="E56" i="3"/>
  <c r="H56" i="3" s="1"/>
  <c r="E57" i="3"/>
  <c r="H57" i="3" s="1"/>
  <c r="E58" i="3"/>
  <c r="H58" i="3" s="1"/>
  <c r="E59" i="3"/>
  <c r="H59" i="3" s="1"/>
  <c r="E60" i="3"/>
  <c r="H60" i="3" s="1"/>
  <c r="E61" i="3"/>
  <c r="H61" i="3" s="1"/>
  <c r="E62" i="3"/>
  <c r="H62" i="3" s="1"/>
  <c r="E63" i="3"/>
  <c r="H63" i="3" s="1"/>
  <c r="E64" i="3"/>
  <c r="H64" i="3" s="1"/>
  <c r="E65" i="3"/>
  <c r="H65" i="3" s="1"/>
  <c r="E66" i="3"/>
  <c r="H66" i="3" s="1"/>
  <c r="E67" i="3"/>
  <c r="H67" i="3" s="1"/>
  <c r="E68" i="3"/>
  <c r="H68" i="3" s="1"/>
  <c r="E69" i="3"/>
  <c r="H69" i="3" s="1"/>
  <c r="E70" i="3"/>
  <c r="H70" i="3" s="1"/>
  <c r="E71" i="3"/>
  <c r="H71" i="3" s="1"/>
  <c r="E72" i="3"/>
  <c r="H72" i="3" s="1"/>
  <c r="E73" i="3"/>
  <c r="H73" i="3" s="1"/>
  <c r="E74" i="3"/>
  <c r="H74" i="3" s="1"/>
  <c r="E75" i="3"/>
  <c r="H75" i="3" s="1"/>
  <c r="E76" i="3"/>
  <c r="H76" i="3" s="1"/>
  <c r="E77" i="3"/>
  <c r="H77" i="3" s="1"/>
  <c r="E78" i="3"/>
  <c r="H78" i="3" s="1"/>
  <c r="E79" i="3"/>
  <c r="H79" i="3" s="1"/>
  <c r="E80" i="3"/>
  <c r="H80" i="3" s="1"/>
  <c r="E81" i="3"/>
  <c r="H81" i="3" s="1"/>
  <c r="E82" i="3"/>
  <c r="H82" i="3" s="1"/>
  <c r="E83" i="3"/>
  <c r="H83" i="3" s="1"/>
  <c r="E84" i="3"/>
  <c r="H84" i="3" s="1"/>
  <c r="E85" i="3"/>
  <c r="H85" i="3" s="1"/>
  <c r="E86" i="3"/>
  <c r="H86" i="3" s="1"/>
  <c r="E87" i="3"/>
  <c r="H87" i="3" s="1"/>
  <c r="E88" i="3"/>
  <c r="H88" i="3" s="1"/>
  <c r="E89" i="3"/>
  <c r="H89" i="3" s="1"/>
  <c r="E90" i="3"/>
  <c r="H90" i="3" s="1"/>
  <c r="E91" i="3"/>
  <c r="H91" i="3" s="1"/>
  <c r="E92" i="3"/>
  <c r="H92" i="3" s="1"/>
  <c r="E93" i="3"/>
  <c r="H93" i="3" s="1"/>
  <c r="E94" i="3"/>
  <c r="H94" i="3" s="1"/>
  <c r="E95" i="3"/>
  <c r="H95" i="3" s="1"/>
  <c r="E96" i="3"/>
  <c r="H96" i="3" s="1"/>
  <c r="E97" i="3"/>
  <c r="H97" i="3" s="1"/>
  <c r="E98" i="3"/>
  <c r="H98" i="3" s="1"/>
  <c r="E99" i="3"/>
  <c r="H99" i="3" s="1"/>
  <c r="E100" i="3"/>
  <c r="H100" i="3" s="1"/>
  <c r="E101" i="3"/>
  <c r="H101" i="3" s="1"/>
  <c r="E102" i="3"/>
  <c r="H102" i="3" s="1"/>
  <c r="E103" i="3"/>
  <c r="H103" i="3" s="1"/>
  <c r="B103" i="3"/>
  <c r="J873" i="5" l="1"/>
  <c r="J874" i="5"/>
  <c r="J875" i="5"/>
  <c r="J876" i="5"/>
  <c r="J877" i="5"/>
  <c r="J878" i="5"/>
  <c r="J879" i="5"/>
  <c r="J880" i="5"/>
  <c r="B5" i="3"/>
  <c r="B9" i="3" l="1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L21" i="4"/>
  <c r="B24" i="3"/>
  <c r="L22" i="4"/>
  <c r="B25" i="3"/>
  <c r="L23" i="4"/>
  <c r="B26" i="3"/>
  <c r="L24" i="4"/>
  <c r="B27" i="3"/>
  <c r="L25" i="4"/>
  <c r="B28" i="3"/>
  <c r="L26" i="4"/>
  <c r="B29" i="3"/>
  <c r="L27" i="4"/>
  <c r="B30" i="3"/>
  <c r="L28" i="4"/>
  <c r="B31" i="3"/>
  <c r="L29" i="4"/>
  <c r="B32" i="3"/>
  <c r="L30" i="4"/>
  <c r="B33" i="3"/>
  <c r="L31" i="4"/>
  <c r="B34" i="3"/>
  <c r="L32" i="4"/>
  <c r="B35" i="3"/>
  <c r="L33" i="4"/>
  <c r="B36" i="3"/>
  <c r="L34" i="4"/>
  <c r="B37" i="3"/>
  <c r="L35" i="4"/>
  <c r="B38" i="3"/>
  <c r="L36" i="4"/>
  <c r="B39" i="3"/>
  <c r="L37" i="4"/>
  <c r="B40" i="3"/>
  <c r="L38" i="4"/>
  <c r="B41" i="3"/>
  <c r="L39" i="4"/>
  <c r="B42" i="3"/>
  <c r="L40" i="4"/>
  <c r="B43" i="3"/>
  <c r="L41" i="4"/>
  <c r="B44" i="3"/>
  <c r="L42" i="4"/>
  <c r="B45" i="3"/>
  <c r="L43" i="4"/>
  <c r="B46" i="3"/>
  <c r="L44" i="4"/>
  <c r="B47" i="3"/>
  <c r="L45" i="4"/>
  <c r="B48" i="3"/>
  <c r="L46" i="4"/>
  <c r="B49" i="3"/>
  <c r="L47" i="4"/>
  <c r="B50" i="3"/>
  <c r="L48" i="4"/>
  <c r="B51" i="3"/>
  <c r="L49" i="4"/>
  <c r="B52" i="3"/>
  <c r="L50" i="4"/>
  <c r="B53" i="3"/>
  <c r="L51" i="4"/>
  <c r="B54" i="3"/>
  <c r="L52" i="4"/>
  <c r="B55" i="3"/>
  <c r="L53" i="4"/>
  <c r="B56" i="3"/>
  <c r="L54" i="4"/>
  <c r="B57" i="3"/>
  <c r="L55" i="4"/>
  <c r="B58" i="3"/>
  <c r="L56" i="4"/>
  <c r="B59" i="3"/>
  <c r="L57" i="4"/>
  <c r="B60" i="3"/>
  <c r="L58" i="4"/>
  <c r="B61" i="3"/>
  <c r="L59" i="4"/>
  <c r="B62" i="3"/>
  <c r="L60" i="4"/>
  <c r="B63" i="3"/>
  <c r="L61" i="4"/>
  <c r="B64" i="3"/>
  <c r="L62" i="4"/>
  <c r="B65" i="3"/>
  <c r="L63" i="4"/>
  <c r="B66" i="3"/>
  <c r="L64" i="4"/>
  <c r="B67" i="3"/>
  <c r="L65" i="4"/>
  <c r="B68" i="3"/>
  <c r="L66" i="4"/>
  <c r="B69" i="3"/>
  <c r="L67" i="4"/>
  <c r="B70" i="3"/>
  <c r="L68" i="4"/>
  <c r="B71" i="3"/>
  <c r="L69" i="4"/>
  <c r="B72" i="3"/>
  <c r="L70" i="4"/>
  <c r="B73" i="3"/>
  <c r="L71" i="4"/>
  <c r="B74" i="3"/>
  <c r="L72" i="4"/>
  <c r="B75" i="3"/>
  <c r="L73" i="4"/>
  <c r="B76" i="3"/>
  <c r="L74" i="4"/>
  <c r="B77" i="3"/>
  <c r="L75" i="4"/>
  <c r="B78" i="3"/>
  <c r="L76" i="4"/>
  <c r="B79" i="3"/>
  <c r="L77" i="4"/>
  <c r="B80" i="3"/>
  <c r="L78" i="4"/>
  <c r="B81" i="3"/>
  <c r="L79" i="4"/>
  <c r="B82" i="3"/>
  <c r="L80" i="4"/>
  <c r="B83" i="3"/>
  <c r="L81" i="4"/>
  <c r="B84" i="3"/>
  <c r="L82" i="4"/>
  <c r="B85" i="3"/>
  <c r="L83" i="4"/>
  <c r="B86" i="3"/>
  <c r="L84" i="4"/>
  <c r="B87" i="3"/>
  <c r="L85" i="4"/>
  <c r="B88" i="3"/>
  <c r="L86" i="4"/>
  <c r="B89" i="3"/>
  <c r="L87" i="4"/>
  <c r="B90" i="3"/>
  <c r="L88" i="4"/>
  <c r="B91" i="3"/>
  <c r="L89" i="4"/>
  <c r="B92" i="3"/>
  <c r="L90" i="4"/>
  <c r="B93" i="3"/>
  <c r="L91" i="4"/>
  <c r="B94" i="3"/>
  <c r="L92" i="4"/>
  <c r="B95" i="3"/>
  <c r="L93" i="4"/>
  <c r="B96" i="3"/>
  <c r="L94" i="4"/>
  <c r="B97" i="3"/>
  <c r="L95" i="4"/>
  <c r="B98" i="3"/>
  <c r="L96" i="4"/>
  <c r="B99" i="3"/>
  <c r="L97" i="4"/>
  <c r="B100" i="3"/>
  <c r="L98" i="4"/>
  <c r="B101" i="3"/>
  <c r="L99" i="4"/>
  <c r="B102" i="3"/>
  <c r="L100" i="4"/>
  <c r="L9" i="3"/>
  <c r="G12" i="3"/>
  <c r="G14" i="3"/>
  <c r="M20" i="3"/>
  <c r="G21" i="3"/>
  <c r="G24" i="3"/>
  <c r="L10" i="3"/>
  <c r="L11" i="3"/>
  <c r="G15" i="3"/>
  <c r="G16" i="3"/>
  <c r="M17" i="3"/>
  <c r="K19" i="3"/>
  <c r="G23" i="3"/>
  <c r="L27" i="3"/>
  <c r="M28" i="3"/>
  <c r="M29" i="3"/>
  <c r="K30" i="3"/>
  <c r="G31" i="3"/>
  <c r="K32" i="3"/>
  <c r="G33" i="3"/>
  <c r="L34" i="3"/>
  <c r="L35" i="3"/>
  <c r="G36" i="3"/>
  <c r="M37" i="3"/>
  <c r="G38" i="3"/>
  <c r="L39" i="3"/>
  <c r="L40" i="3"/>
  <c r="M41" i="3"/>
  <c r="G42" i="3"/>
  <c r="K43" i="3"/>
  <c r="K44" i="3"/>
  <c r="L45" i="3"/>
  <c r="K46" i="3"/>
  <c r="G47" i="3"/>
  <c r="G48" i="3"/>
  <c r="K49" i="3"/>
  <c r="G50" i="3"/>
  <c r="G51" i="3"/>
  <c r="G52" i="3"/>
  <c r="M53" i="3"/>
  <c r="G54" i="3"/>
  <c r="K55" i="3"/>
  <c r="M56" i="3"/>
  <c r="L57" i="3"/>
  <c r="M58" i="3"/>
  <c r="K59" i="3"/>
  <c r="G60" i="3"/>
  <c r="G61" i="3"/>
  <c r="K62" i="3"/>
  <c r="G63" i="3"/>
  <c r="L64" i="3"/>
  <c r="M65" i="3"/>
  <c r="K66" i="3"/>
  <c r="K67" i="3"/>
  <c r="M68" i="3"/>
  <c r="L69" i="3"/>
  <c r="M70" i="3"/>
  <c r="G71" i="3"/>
  <c r="G72" i="3"/>
  <c r="G73" i="3"/>
  <c r="G74" i="3"/>
  <c r="G75" i="3"/>
  <c r="M76" i="3"/>
  <c r="M77" i="3"/>
  <c r="M78" i="3"/>
  <c r="L79" i="3"/>
  <c r="K80" i="3"/>
  <c r="M81" i="3"/>
  <c r="G82" i="3"/>
  <c r="M83" i="3"/>
  <c r="G84" i="3"/>
  <c r="G85" i="3"/>
  <c r="G86" i="3"/>
  <c r="G87" i="3"/>
  <c r="G88" i="3"/>
  <c r="M89" i="3"/>
  <c r="L90" i="3"/>
  <c r="L91" i="3"/>
  <c r="K92" i="3"/>
  <c r="L93" i="3"/>
  <c r="K94" i="3"/>
  <c r="K95" i="3"/>
  <c r="G96" i="3"/>
  <c r="L97" i="3"/>
  <c r="K98" i="3"/>
  <c r="G99" i="3"/>
  <c r="L100" i="3"/>
  <c r="M101" i="3"/>
  <c r="K102" i="3"/>
  <c r="G103" i="3"/>
  <c r="G19" i="3"/>
  <c r="K31" i="3"/>
  <c r="L49" i="3"/>
  <c r="L103" i="3"/>
  <c r="M19" i="3"/>
  <c r="M43" i="3"/>
  <c r="M63" i="3"/>
  <c r="B4" i="3"/>
  <c r="B6" i="3"/>
  <c r="B7" i="3"/>
  <c r="B8" i="3"/>
  <c r="L55" i="3" l="1"/>
  <c r="M67" i="3"/>
  <c r="M85" i="3"/>
  <c r="L67" i="3"/>
  <c r="K63" i="3"/>
  <c r="M99" i="3"/>
  <c r="K61" i="3"/>
  <c r="L63" i="3"/>
  <c r="K79" i="3"/>
  <c r="G58" i="3"/>
  <c r="M55" i="3"/>
  <c r="K39" i="3"/>
  <c r="M42" i="3"/>
  <c r="G39" i="3"/>
  <c r="L87" i="3"/>
  <c r="G79" i="3"/>
  <c r="L58" i="3"/>
  <c r="M73" i="3"/>
  <c r="L37" i="3"/>
  <c r="K73" i="3"/>
  <c r="L54" i="3"/>
  <c r="M46" i="3"/>
  <c r="L94" i="3"/>
  <c r="M39" i="3"/>
  <c r="L31" i="3"/>
  <c r="G40" i="3"/>
  <c r="K100" i="3"/>
  <c r="M91" i="3"/>
  <c r="K91" i="3"/>
  <c r="G37" i="3"/>
  <c r="M52" i="3"/>
  <c r="K28" i="3"/>
  <c r="G76" i="3"/>
  <c r="M82" i="3"/>
  <c r="M23" i="3"/>
  <c r="L52" i="3"/>
  <c r="K54" i="3"/>
  <c r="K51" i="3"/>
  <c r="G35" i="3"/>
  <c r="L88" i="3"/>
  <c r="L28" i="3"/>
  <c r="M51" i="3"/>
  <c r="L75" i="3"/>
  <c r="K97" i="3"/>
  <c r="G78" i="3"/>
  <c r="K90" i="3"/>
  <c r="G70" i="3"/>
  <c r="M88" i="3"/>
  <c r="M40" i="3"/>
  <c r="G46" i="3"/>
  <c r="L83" i="3"/>
  <c r="K83" i="3"/>
  <c r="G30" i="3"/>
  <c r="M102" i="3"/>
  <c r="M66" i="3"/>
  <c r="K42" i="3"/>
  <c r="M100" i="3"/>
  <c r="M64" i="3"/>
  <c r="M34" i="3"/>
  <c r="L78" i="3"/>
  <c r="L46" i="3"/>
  <c r="K40" i="3"/>
  <c r="G67" i="3"/>
  <c r="G28" i="3"/>
  <c r="M30" i="3"/>
  <c r="K78" i="3"/>
  <c r="L42" i="3"/>
  <c r="G66" i="3"/>
  <c r="M94" i="3"/>
  <c r="M59" i="3"/>
  <c r="L70" i="3"/>
  <c r="K76" i="3"/>
  <c r="K34" i="3"/>
  <c r="G64" i="3"/>
  <c r="M90" i="3"/>
  <c r="M54" i="3"/>
  <c r="L66" i="3"/>
  <c r="L30" i="3"/>
  <c r="K70" i="3"/>
  <c r="G102" i="3"/>
  <c r="L102" i="3"/>
  <c r="L59" i="3"/>
  <c r="K64" i="3"/>
  <c r="G100" i="3"/>
  <c r="G90" i="3"/>
  <c r="M87" i="3"/>
  <c r="L76" i="3"/>
  <c r="L51" i="3"/>
  <c r="K99" i="3"/>
  <c r="G95" i="3"/>
  <c r="M103" i="3"/>
  <c r="K88" i="3"/>
  <c r="G94" i="3"/>
  <c r="M75" i="3"/>
  <c r="L99" i="3"/>
  <c r="K87" i="3"/>
  <c r="K52" i="3"/>
  <c r="G91" i="3"/>
  <c r="G49" i="3"/>
  <c r="G59" i="3"/>
  <c r="M47" i="3"/>
  <c r="K47" i="3"/>
  <c r="M95" i="3"/>
  <c r="L71" i="3"/>
  <c r="L47" i="3"/>
  <c r="K71" i="3"/>
  <c r="G83" i="3"/>
  <c r="M71" i="3"/>
  <c r="K35" i="3"/>
  <c r="L95" i="3"/>
  <c r="M35" i="3"/>
  <c r="M74" i="3"/>
  <c r="L38" i="3"/>
  <c r="M31" i="3"/>
  <c r="L74" i="3"/>
  <c r="K58" i="3"/>
  <c r="K38" i="3"/>
  <c r="G55" i="3"/>
  <c r="G34" i="3"/>
  <c r="M49" i="3"/>
  <c r="L73" i="3"/>
  <c r="K75" i="3"/>
  <c r="K37" i="3"/>
  <c r="G97" i="3"/>
  <c r="M86" i="3"/>
  <c r="K74" i="3"/>
  <c r="L23" i="3"/>
  <c r="M79" i="3"/>
  <c r="M61" i="3"/>
  <c r="L43" i="3"/>
  <c r="L19" i="3"/>
  <c r="K86" i="3"/>
  <c r="G43" i="3"/>
  <c r="L85" i="3"/>
  <c r="M97" i="3"/>
  <c r="L82" i="3"/>
  <c r="K103" i="3"/>
  <c r="K85" i="3"/>
  <c r="K23" i="3"/>
  <c r="L86" i="3"/>
  <c r="M38" i="3"/>
  <c r="L61" i="3"/>
  <c r="K82" i="3"/>
  <c r="K11" i="3"/>
  <c r="G18" i="3"/>
  <c r="L18" i="3"/>
  <c r="M18" i="3"/>
  <c r="K18" i="3"/>
  <c r="M22" i="3"/>
  <c r="K22" i="3"/>
  <c r="G22" i="3"/>
  <c r="L22" i="3"/>
  <c r="G26" i="3"/>
  <c r="L26" i="3"/>
  <c r="M26" i="3"/>
  <c r="K26" i="3"/>
  <c r="K25" i="3"/>
  <c r="L25" i="3"/>
  <c r="M25" i="3"/>
  <c r="G25" i="3"/>
  <c r="K13" i="3"/>
  <c r="L13" i="3"/>
  <c r="M13" i="3"/>
  <c r="G27" i="3"/>
  <c r="K16" i="3"/>
  <c r="L16" i="3"/>
  <c r="K15" i="3"/>
  <c r="K10" i="3"/>
  <c r="M10" i="3"/>
  <c r="K27" i="3"/>
  <c r="G11" i="3"/>
  <c r="M11" i="3"/>
  <c r="M27" i="3"/>
  <c r="M16" i="3"/>
  <c r="M15" i="3"/>
  <c r="L15" i="3"/>
  <c r="G13" i="3"/>
  <c r="G10" i="3"/>
  <c r="M84" i="3"/>
  <c r="M36" i="3"/>
  <c r="L84" i="3"/>
  <c r="L36" i="3"/>
  <c r="K84" i="3"/>
  <c r="K36" i="3"/>
  <c r="G98" i="3"/>
  <c r="G62" i="3"/>
  <c r="M98" i="3"/>
  <c r="M50" i="3"/>
  <c r="L98" i="3"/>
  <c r="L50" i="3"/>
  <c r="K50" i="3"/>
  <c r="M48" i="3"/>
  <c r="L96" i="3"/>
  <c r="L48" i="3"/>
  <c r="K96" i="3"/>
  <c r="K48" i="3"/>
  <c r="M96" i="3"/>
  <c r="M62" i="3"/>
  <c r="M14" i="3"/>
  <c r="L62" i="3"/>
  <c r="L14" i="3"/>
  <c r="K14" i="3"/>
  <c r="M60" i="3"/>
  <c r="M12" i="3"/>
  <c r="L60" i="3"/>
  <c r="L12" i="3"/>
  <c r="K60" i="3"/>
  <c r="K12" i="3"/>
  <c r="M72" i="3"/>
  <c r="M24" i="3"/>
  <c r="L72" i="3"/>
  <c r="L24" i="3"/>
  <c r="K72" i="3"/>
  <c r="K24" i="3"/>
  <c r="G93" i="3"/>
  <c r="G81" i="3"/>
  <c r="G57" i="3"/>
  <c r="G9" i="3"/>
  <c r="G92" i="3"/>
  <c r="G80" i="3"/>
  <c r="G68" i="3"/>
  <c r="G56" i="3"/>
  <c r="G44" i="3"/>
  <c r="G32" i="3"/>
  <c r="G20" i="3"/>
  <c r="K93" i="3"/>
  <c r="K81" i="3"/>
  <c r="K69" i="3"/>
  <c r="K57" i="3"/>
  <c r="K45" i="3"/>
  <c r="K33" i="3"/>
  <c r="K21" i="3"/>
  <c r="K9" i="3"/>
  <c r="L81" i="3"/>
  <c r="L21" i="3"/>
  <c r="K68" i="3"/>
  <c r="K20" i="3"/>
  <c r="M93" i="3"/>
  <c r="M69" i="3"/>
  <c r="M57" i="3"/>
  <c r="M45" i="3"/>
  <c r="M33" i="3"/>
  <c r="M21" i="3"/>
  <c r="M9" i="3"/>
  <c r="L92" i="3"/>
  <c r="L80" i="3"/>
  <c r="L68" i="3"/>
  <c r="L56" i="3"/>
  <c r="L44" i="3"/>
  <c r="L32" i="3"/>
  <c r="L20" i="3"/>
  <c r="G101" i="3"/>
  <c r="G89" i="3"/>
  <c r="G77" i="3"/>
  <c r="G65" i="3"/>
  <c r="G53" i="3"/>
  <c r="G41" i="3"/>
  <c r="G29" i="3"/>
  <c r="G17" i="3"/>
  <c r="G69" i="3"/>
  <c r="K56" i="3"/>
  <c r="M92" i="3"/>
  <c r="M80" i="3"/>
  <c r="M44" i="3"/>
  <c r="M32" i="3"/>
  <c r="K101" i="3"/>
  <c r="K89" i="3"/>
  <c r="K77" i="3"/>
  <c r="K65" i="3"/>
  <c r="K53" i="3"/>
  <c r="K41" i="3"/>
  <c r="K29" i="3"/>
  <c r="K17" i="3"/>
  <c r="L33" i="3"/>
  <c r="L101" i="3"/>
  <c r="L89" i="3"/>
  <c r="L77" i="3"/>
  <c r="L65" i="3"/>
  <c r="L53" i="3"/>
  <c r="L41" i="3"/>
  <c r="L29" i="3"/>
  <c r="L17" i="3"/>
  <c r="G45" i="3"/>
  <c r="L7" i="3"/>
  <c r="M7" i="3"/>
  <c r="G7" i="3"/>
  <c r="K7" i="3"/>
  <c r="M8" i="3"/>
  <c r="L8" i="3"/>
  <c r="K8" i="3"/>
  <c r="G8" i="3"/>
  <c r="M6" i="3"/>
  <c r="L6" i="3"/>
  <c r="K6" i="3"/>
  <c r="G6" i="3"/>
  <c r="A2" i="5"/>
  <c r="J2" i="5"/>
  <c r="A3" i="5"/>
  <c r="J3" i="5"/>
  <c r="A4" i="5"/>
  <c r="J4" i="5"/>
  <c r="A5" i="5"/>
  <c r="J5" i="5"/>
  <c r="A6" i="5"/>
  <c r="J6" i="5"/>
  <c r="A7" i="5"/>
  <c r="J7" i="5"/>
  <c r="A8" i="5"/>
  <c r="J8" i="5"/>
  <c r="A9" i="5"/>
  <c r="J9" i="5"/>
  <c r="A10" i="5"/>
  <c r="J10" i="5"/>
  <c r="A11" i="5"/>
  <c r="J11" i="5"/>
  <c r="A12" i="5"/>
  <c r="J12" i="5"/>
  <c r="A13" i="5"/>
  <c r="J13" i="5"/>
  <c r="A14" i="5"/>
  <c r="J14" i="5"/>
  <c r="A15" i="5"/>
  <c r="J15" i="5"/>
  <c r="A16" i="5"/>
  <c r="J16" i="5"/>
  <c r="A17" i="5"/>
  <c r="J17" i="5"/>
  <c r="A18" i="5"/>
  <c r="J18" i="5"/>
  <c r="A19" i="5"/>
  <c r="J19" i="5"/>
  <c r="A20" i="5"/>
  <c r="J20" i="5"/>
  <c r="A21" i="5"/>
  <c r="J21" i="5"/>
  <c r="A22" i="5"/>
  <c r="J22" i="5"/>
  <c r="A23" i="5"/>
  <c r="J23" i="5"/>
  <c r="A24" i="5"/>
  <c r="J24" i="5"/>
  <c r="A25" i="5"/>
  <c r="J25" i="5"/>
  <c r="A26" i="5"/>
  <c r="J26" i="5"/>
  <c r="A27" i="5"/>
  <c r="J27" i="5"/>
  <c r="A28" i="5"/>
  <c r="J28" i="5"/>
  <c r="A29" i="5"/>
  <c r="J29" i="5"/>
  <c r="A30" i="5"/>
  <c r="J30" i="5"/>
  <c r="A31" i="5"/>
  <c r="J31" i="5"/>
  <c r="A32" i="5"/>
  <c r="J32" i="5"/>
  <c r="A33" i="5"/>
  <c r="J33" i="5"/>
  <c r="A34" i="5"/>
  <c r="J34" i="5"/>
  <c r="A35" i="5"/>
  <c r="J35" i="5"/>
  <c r="A36" i="5"/>
  <c r="J36" i="5"/>
  <c r="A37" i="5"/>
  <c r="J37" i="5"/>
  <c r="A38" i="5"/>
  <c r="J38" i="5"/>
  <c r="A39" i="5"/>
  <c r="J39" i="5"/>
  <c r="A40" i="5"/>
  <c r="J40" i="5"/>
  <c r="A41" i="5"/>
  <c r="J41" i="5"/>
  <c r="A42" i="5"/>
  <c r="J42" i="5"/>
  <c r="A43" i="5"/>
  <c r="J43" i="5"/>
  <c r="A44" i="5"/>
  <c r="J44" i="5"/>
  <c r="A45" i="5"/>
  <c r="J45" i="5"/>
  <c r="A46" i="5"/>
  <c r="J46" i="5"/>
  <c r="A47" i="5"/>
  <c r="J47" i="5"/>
  <c r="A48" i="5"/>
  <c r="J48" i="5"/>
  <c r="A49" i="5"/>
  <c r="J49" i="5"/>
  <c r="A50" i="5"/>
  <c r="J50" i="5"/>
  <c r="A51" i="5"/>
  <c r="J51" i="5"/>
  <c r="A52" i="5"/>
  <c r="J52" i="5"/>
  <c r="A53" i="5"/>
  <c r="J53" i="5"/>
  <c r="A54" i="5"/>
  <c r="J54" i="5"/>
  <c r="A55" i="5"/>
  <c r="J55" i="5"/>
  <c r="A56" i="5"/>
  <c r="J56" i="5"/>
  <c r="A57" i="5"/>
  <c r="J57" i="5"/>
  <c r="A58" i="5"/>
  <c r="J58" i="5"/>
  <c r="A59" i="5"/>
  <c r="J59" i="5"/>
  <c r="A60" i="5"/>
  <c r="J60" i="5"/>
  <c r="A61" i="5"/>
  <c r="J61" i="5"/>
  <c r="A62" i="5"/>
  <c r="J62" i="5"/>
  <c r="A63" i="5"/>
  <c r="J63" i="5"/>
  <c r="A64" i="5"/>
  <c r="J64" i="5"/>
  <c r="A65" i="5"/>
  <c r="J65" i="5"/>
  <c r="A66" i="5"/>
  <c r="J66" i="5"/>
  <c r="A67" i="5"/>
  <c r="J67" i="5"/>
  <c r="A68" i="5"/>
  <c r="J68" i="5"/>
  <c r="A69" i="5"/>
  <c r="J69" i="5"/>
  <c r="A70" i="5"/>
  <c r="J70" i="5"/>
  <c r="A71" i="5"/>
  <c r="J71" i="5"/>
  <c r="A72" i="5"/>
  <c r="J72" i="5"/>
  <c r="A73" i="5"/>
  <c r="J73" i="5"/>
  <c r="A74" i="5"/>
  <c r="J74" i="5"/>
  <c r="A75" i="5"/>
  <c r="J75" i="5"/>
  <c r="A76" i="5"/>
  <c r="J76" i="5"/>
  <c r="A77" i="5"/>
  <c r="J77" i="5"/>
  <c r="A78" i="5"/>
  <c r="J78" i="5"/>
  <c r="A79" i="5"/>
  <c r="J79" i="5"/>
  <c r="A80" i="5"/>
  <c r="J80" i="5"/>
  <c r="A81" i="5"/>
  <c r="J81" i="5"/>
  <c r="A82" i="5"/>
  <c r="J82" i="5"/>
  <c r="A83" i="5"/>
  <c r="J83" i="5"/>
  <c r="A84" i="5"/>
  <c r="J84" i="5"/>
  <c r="A85" i="5"/>
  <c r="J85" i="5"/>
  <c r="A86" i="5"/>
  <c r="J86" i="5"/>
  <c r="A87" i="5"/>
  <c r="J87" i="5"/>
  <c r="A88" i="5"/>
  <c r="J88" i="5"/>
  <c r="A89" i="5"/>
  <c r="J89" i="5"/>
  <c r="A90" i="5"/>
  <c r="J90" i="5"/>
  <c r="A91" i="5"/>
  <c r="J91" i="5"/>
  <c r="A92" i="5"/>
  <c r="J92" i="5"/>
  <c r="A93" i="5"/>
  <c r="J93" i="5"/>
  <c r="A94" i="5"/>
  <c r="J94" i="5"/>
  <c r="A95" i="5"/>
  <c r="J95" i="5"/>
  <c r="A96" i="5"/>
  <c r="J96" i="5"/>
  <c r="A97" i="5"/>
  <c r="J97" i="5"/>
  <c r="A98" i="5"/>
  <c r="J98" i="5"/>
  <c r="A99" i="5"/>
  <c r="J99" i="5"/>
  <c r="A100" i="5"/>
  <c r="J100" i="5"/>
  <c r="A101" i="5"/>
  <c r="J101" i="5"/>
  <c r="A102" i="5"/>
  <c r="J102" i="5"/>
  <c r="A103" i="5"/>
  <c r="J103" i="5"/>
  <c r="A104" i="5"/>
  <c r="J104" i="5"/>
  <c r="A105" i="5"/>
  <c r="J105" i="5"/>
  <c r="A106" i="5"/>
  <c r="J106" i="5"/>
  <c r="A107" i="5"/>
  <c r="J107" i="5"/>
  <c r="A108" i="5"/>
  <c r="J108" i="5"/>
  <c r="A109" i="5"/>
  <c r="J109" i="5"/>
  <c r="A110" i="5"/>
  <c r="J110" i="5"/>
  <c r="A111" i="5"/>
  <c r="J111" i="5"/>
  <c r="A112" i="5"/>
  <c r="J112" i="5"/>
  <c r="A113" i="5"/>
  <c r="J113" i="5"/>
  <c r="A114" i="5"/>
  <c r="J114" i="5"/>
  <c r="A115" i="5"/>
  <c r="J115" i="5"/>
  <c r="A116" i="5"/>
  <c r="J116" i="5"/>
  <c r="A117" i="5"/>
  <c r="J117" i="5"/>
  <c r="A118" i="5"/>
  <c r="J118" i="5"/>
  <c r="A119" i="5"/>
  <c r="J119" i="5"/>
  <c r="G44" i="4" s="1"/>
  <c r="D46" i="3" s="1"/>
  <c r="A120" i="5"/>
  <c r="J120" i="5"/>
  <c r="A121" i="5"/>
  <c r="J121" i="5"/>
  <c r="G45" i="4" s="1"/>
  <c r="D47" i="3" s="1"/>
  <c r="A122" i="5"/>
  <c r="J122" i="5"/>
  <c r="A123" i="5"/>
  <c r="J123" i="5"/>
  <c r="A124" i="5"/>
  <c r="J124" i="5"/>
  <c r="A125" i="5"/>
  <c r="J125" i="5"/>
  <c r="A126" i="5"/>
  <c r="J126" i="5"/>
  <c r="A127" i="5"/>
  <c r="J127" i="5"/>
  <c r="A128" i="5"/>
  <c r="J128" i="5"/>
  <c r="A129" i="5"/>
  <c r="J129" i="5"/>
  <c r="A130" i="5"/>
  <c r="J130" i="5"/>
  <c r="A131" i="5"/>
  <c r="J131" i="5"/>
  <c r="A132" i="5"/>
  <c r="J132" i="5"/>
  <c r="G41" i="4" s="1"/>
  <c r="D43" i="3" s="1"/>
  <c r="A133" i="5"/>
  <c r="J133" i="5"/>
  <c r="A134" i="5"/>
  <c r="J134" i="5"/>
  <c r="G42" i="4" s="1"/>
  <c r="D44" i="3" s="1"/>
  <c r="A135" i="5"/>
  <c r="J135" i="5"/>
  <c r="A136" i="5"/>
  <c r="J136" i="5"/>
  <c r="A137" i="5"/>
  <c r="J137" i="5"/>
  <c r="A138" i="5"/>
  <c r="J138" i="5"/>
  <c r="A139" i="5"/>
  <c r="J139" i="5"/>
  <c r="A140" i="5"/>
  <c r="J140" i="5"/>
  <c r="A141" i="5"/>
  <c r="J141" i="5"/>
  <c r="A142" i="5"/>
  <c r="J142" i="5"/>
  <c r="A143" i="5"/>
  <c r="J143" i="5"/>
  <c r="A144" i="5"/>
  <c r="J144" i="5"/>
  <c r="A145" i="5"/>
  <c r="J145" i="5"/>
  <c r="A146" i="5"/>
  <c r="J146" i="5"/>
  <c r="A147" i="5"/>
  <c r="J147" i="5"/>
  <c r="A148" i="5"/>
  <c r="J148" i="5"/>
  <c r="A149" i="5"/>
  <c r="J149" i="5"/>
  <c r="A150" i="5"/>
  <c r="J150" i="5"/>
  <c r="A151" i="5"/>
  <c r="J151" i="5"/>
  <c r="A152" i="5"/>
  <c r="J152" i="5"/>
  <c r="A153" i="5"/>
  <c r="J153" i="5"/>
  <c r="A154" i="5"/>
  <c r="J154" i="5"/>
  <c r="A155" i="5"/>
  <c r="J155" i="5"/>
  <c r="A156" i="5"/>
  <c r="J156" i="5"/>
  <c r="A157" i="5"/>
  <c r="J157" i="5"/>
  <c r="A158" i="5"/>
  <c r="J158" i="5"/>
  <c r="A159" i="5"/>
  <c r="J159" i="5"/>
  <c r="A160" i="5"/>
  <c r="J160" i="5"/>
  <c r="A161" i="5"/>
  <c r="J161" i="5"/>
  <c r="A162" i="5"/>
  <c r="J162" i="5"/>
  <c r="A163" i="5"/>
  <c r="J163" i="5"/>
  <c r="A164" i="5"/>
  <c r="J164" i="5"/>
  <c r="A165" i="5"/>
  <c r="J165" i="5"/>
  <c r="A166" i="5"/>
  <c r="J166" i="5"/>
  <c r="A167" i="5"/>
  <c r="J167" i="5"/>
  <c r="A168" i="5"/>
  <c r="J168" i="5"/>
  <c r="A169" i="5"/>
  <c r="J169" i="5"/>
  <c r="A170" i="5"/>
  <c r="J170" i="5"/>
  <c r="A171" i="5"/>
  <c r="J171" i="5"/>
  <c r="A172" i="5"/>
  <c r="J172" i="5"/>
  <c r="A173" i="5"/>
  <c r="J173" i="5"/>
  <c r="A174" i="5"/>
  <c r="J174" i="5"/>
  <c r="A175" i="5"/>
  <c r="J175" i="5"/>
  <c r="A176" i="5"/>
  <c r="J176" i="5"/>
  <c r="A177" i="5"/>
  <c r="J177" i="5"/>
  <c r="A178" i="5"/>
  <c r="J178" i="5"/>
  <c r="A179" i="5"/>
  <c r="J179" i="5"/>
  <c r="A180" i="5"/>
  <c r="J180" i="5"/>
  <c r="A181" i="5"/>
  <c r="J181" i="5"/>
  <c r="A182" i="5"/>
  <c r="J182" i="5"/>
  <c r="A183" i="5"/>
  <c r="J183" i="5"/>
  <c r="A184" i="5"/>
  <c r="J184" i="5"/>
  <c r="A185" i="5"/>
  <c r="J185" i="5"/>
  <c r="A186" i="5"/>
  <c r="J186" i="5"/>
  <c r="A187" i="5"/>
  <c r="J187" i="5"/>
  <c r="A188" i="5"/>
  <c r="J188" i="5"/>
  <c r="A189" i="5"/>
  <c r="J189" i="5"/>
  <c r="A190" i="5"/>
  <c r="J190" i="5"/>
  <c r="A191" i="5"/>
  <c r="J191" i="5"/>
  <c r="A192" i="5"/>
  <c r="J192" i="5"/>
  <c r="A193" i="5"/>
  <c r="J193" i="5"/>
  <c r="A194" i="5"/>
  <c r="J194" i="5"/>
  <c r="A195" i="5"/>
  <c r="J195" i="5"/>
  <c r="A196" i="5"/>
  <c r="J196" i="5"/>
  <c r="A197" i="5"/>
  <c r="J197" i="5"/>
  <c r="A198" i="5"/>
  <c r="J198" i="5"/>
  <c r="A199" i="5"/>
  <c r="J199" i="5"/>
  <c r="A200" i="5"/>
  <c r="J200" i="5"/>
  <c r="A201" i="5"/>
  <c r="J201" i="5"/>
  <c r="A202" i="5"/>
  <c r="J202" i="5"/>
  <c r="A203" i="5"/>
  <c r="J203" i="5"/>
  <c r="A204" i="5"/>
  <c r="J204" i="5"/>
  <c r="A205" i="5"/>
  <c r="J205" i="5"/>
  <c r="A206" i="5"/>
  <c r="J206" i="5"/>
  <c r="A207" i="5"/>
  <c r="J207" i="5"/>
  <c r="A208" i="5"/>
  <c r="J208" i="5"/>
  <c r="A209" i="5"/>
  <c r="J209" i="5"/>
  <c r="A210" i="5"/>
  <c r="J210" i="5"/>
  <c r="A211" i="5"/>
  <c r="J211" i="5"/>
  <c r="A212" i="5"/>
  <c r="J212" i="5"/>
  <c r="A213" i="5"/>
  <c r="J213" i="5"/>
  <c r="A214" i="5"/>
  <c r="J214" i="5"/>
  <c r="A215" i="5"/>
  <c r="J215" i="5"/>
  <c r="A216" i="5"/>
  <c r="J216" i="5"/>
  <c r="A217" i="5"/>
  <c r="J217" i="5"/>
  <c r="A218" i="5"/>
  <c r="J218" i="5"/>
  <c r="A219" i="5"/>
  <c r="J219" i="5"/>
  <c r="A220" i="5"/>
  <c r="J220" i="5"/>
  <c r="A221" i="5"/>
  <c r="J221" i="5"/>
  <c r="A222" i="5"/>
  <c r="J222" i="5"/>
  <c r="A223" i="5"/>
  <c r="J223" i="5"/>
  <c r="A224" i="5"/>
  <c r="J224" i="5"/>
  <c r="A225" i="5"/>
  <c r="J225" i="5"/>
  <c r="A226" i="5"/>
  <c r="J226" i="5"/>
  <c r="A227" i="5"/>
  <c r="J227" i="5"/>
  <c r="A228" i="5"/>
  <c r="J228" i="5"/>
  <c r="A229" i="5"/>
  <c r="J229" i="5"/>
  <c r="A230" i="5"/>
  <c r="J230" i="5"/>
  <c r="A231" i="5"/>
  <c r="J231" i="5"/>
  <c r="A232" i="5"/>
  <c r="J232" i="5"/>
  <c r="A233" i="5"/>
  <c r="J233" i="5"/>
  <c r="A234" i="5"/>
  <c r="J234" i="5"/>
  <c r="A235" i="5"/>
  <c r="J235" i="5"/>
  <c r="A236" i="5"/>
  <c r="J236" i="5"/>
  <c r="A237" i="5"/>
  <c r="J237" i="5"/>
  <c r="A238" i="5"/>
  <c r="J238" i="5"/>
  <c r="A239" i="5"/>
  <c r="J239" i="5"/>
  <c r="A240" i="5"/>
  <c r="J240" i="5"/>
  <c r="A241" i="5"/>
  <c r="J241" i="5"/>
  <c r="A242" i="5"/>
  <c r="J242" i="5"/>
  <c r="A243" i="5"/>
  <c r="J243" i="5"/>
  <c r="A244" i="5"/>
  <c r="J244" i="5"/>
  <c r="A245" i="5"/>
  <c r="J245" i="5"/>
  <c r="A246" i="5"/>
  <c r="J246" i="5"/>
  <c r="A247" i="5"/>
  <c r="J247" i="5"/>
  <c r="A248" i="5"/>
  <c r="J248" i="5"/>
  <c r="A249" i="5"/>
  <c r="J249" i="5"/>
  <c r="A250" i="5"/>
  <c r="J250" i="5"/>
  <c r="A251" i="5"/>
  <c r="J251" i="5"/>
  <c r="A252" i="5"/>
  <c r="J252" i="5"/>
  <c r="A253" i="5"/>
  <c r="J253" i="5"/>
  <c r="A254" i="5"/>
  <c r="J254" i="5"/>
  <c r="A255" i="5"/>
  <c r="J255" i="5"/>
  <c r="A256" i="5"/>
  <c r="J256" i="5"/>
  <c r="A257" i="5"/>
  <c r="J257" i="5"/>
  <c r="A258" i="5"/>
  <c r="J258" i="5"/>
  <c r="A259" i="5"/>
  <c r="J259" i="5"/>
  <c r="A260" i="5"/>
  <c r="J260" i="5"/>
  <c r="A261" i="5"/>
  <c r="J261" i="5"/>
  <c r="A262" i="5"/>
  <c r="J262" i="5"/>
  <c r="A263" i="5"/>
  <c r="J263" i="5"/>
  <c r="A264" i="5"/>
  <c r="J264" i="5"/>
  <c r="A265" i="5"/>
  <c r="J265" i="5"/>
  <c r="A266" i="5"/>
  <c r="J266" i="5"/>
  <c r="A267" i="5"/>
  <c r="J267" i="5"/>
  <c r="A268" i="5"/>
  <c r="J268" i="5"/>
  <c r="A269" i="5"/>
  <c r="J269" i="5"/>
  <c r="A270" i="5"/>
  <c r="J270" i="5"/>
  <c r="A271" i="5"/>
  <c r="J271" i="5"/>
  <c r="A272" i="5"/>
  <c r="J272" i="5"/>
  <c r="A273" i="5"/>
  <c r="J273" i="5"/>
  <c r="A274" i="5"/>
  <c r="J274" i="5"/>
  <c r="A275" i="5"/>
  <c r="J275" i="5"/>
  <c r="A276" i="5"/>
  <c r="J276" i="5"/>
  <c r="A277" i="5"/>
  <c r="J277" i="5"/>
  <c r="A278" i="5"/>
  <c r="J278" i="5"/>
  <c r="A279" i="5"/>
  <c r="J279" i="5"/>
  <c r="A280" i="5"/>
  <c r="J280" i="5"/>
  <c r="A281" i="5"/>
  <c r="J281" i="5"/>
  <c r="A282" i="5"/>
  <c r="J282" i="5"/>
  <c r="A283" i="5"/>
  <c r="J283" i="5"/>
  <c r="A284" i="5"/>
  <c r="J284" i="5"/>
  <c r="A285" i="5"/>
  <c r="J285" i="5"/>
  <c r="A286" i="5"/>
  <c r="J286" i="5"/>
  <c r="A287" i="5"/>
  <c r="J287" i="5"/>
  <c r="A288" i="5"/>
  <c r="J288" i="5"/>
  <c r="A289" i="5"/>
  <c r="J289" i="5"/>
  <c r="A290" i="5"/>
  <c r="J290" i="5"/>
  <c r="A291" i="5"/>
  <c r="J291" i="5"/>
  <c r="A292" i="5"/>
  <c r="J292" i="5"/>
  <c r="A293" i="5"/>
  <c r="J293" i="5"/>
  <c r="A294" i="5"/>
  <c r="J294" i="5"/>
  <c r="A295" i="5"/>
  <c r="J295" i="5"/>
  <c r="A296" i="5"/>
  <c r="J296" i="5"/>
  <c r="A297" i="5"/>
  <c r="J297" i="5"/>
  <c r="A298" i="5"/>
  <c r="J298" i="5"/>
  <c r="A299" i="5"/>
  <c r="J299" i="5"/>
  <c r="A300" i="5"/>
  <c r="J300" i="5"/>
  <c r="A301" i="5"/>
  <c r="J301" i="5"/>
  <c r="A302" i="5"/>
  <c r="J302" i="5"/>
  <c r="A303" i="5"/>
  <c r="J303" i="5"/>
  <c r="A304" i="5"/>
  <c r="J304" i="5"/>
  <c r="A305" i="5"/>
  <c r="J305" i="5"/>
  <c r="A306" i="5"/>
  <c r="J306" i="5"/>
  <c r="A307" i="5"/>
  <c r="J307" i="5"/>
  <c r="A308" i="5"/>
  <c r="J308" i="5"/>
  <c r="A309" i="5"/>
  <c r="J309" i="5"/>
  <c r="A310" i="5"/>
  <c r="J310" i="5"/>
  <c r="A311" i="5"/>
  <c r="J311" i="5"/>
  <c r="A312" i="5"/>
  <c r="J312" i="5"/>
  <c r="A313" i="5"/>
  <c r="J313" i="5"/>
  <c r="A314" i="5"/>
  <c r="J314" i="5"/>
  <c r="A315" i="5"/>
  <c r="J315" i="5"/>
  <c r="A316" i="5"/>
  <c r="J316" i="5"/>
  <c r="A317" i="5"/>
  <c r="J317" i="5"/>
  <c r="A318" i="5"/>
  <c r="J318" i="5"/>
  <c r="A319" i="5"/>
  <c r="J319" i="5"/>
  <c r="A320" i="5"/>
  <c r="J320" i="5"/>
  <c r="A321" i="5"/>
  <c r="J321" i="5"/>
  <c r="A322" i="5"/>
  <c r="J322" i="5"/>
  <c r="A323" i="5"/>
  <c r="J323" i="5"/>
  <c r="A324" i="5"/>
  <c r="J324" i="5"/>
  <c r="A325" i="5"/>
  <c r="J325" i="5"/>
  <c r="A326" i="5"/>
  <c r="J326" i="5"/>
  <c r="A327" i="5"/>
  <c r="J327" i="5"/>
  <c r="A328" i="5"/>
  <c r="J328" i="5"/>
  <c r="A329" i="5"/>
  <c r="J329" i="5"/>
  <c r="A330" i="5"/>
  <c r="J330" i="5"/>
  <c r="A331" i="5"/>
  <c r="J331" i="5"/>
  <c r="A332" i="5"/>
  <c r="J332" i="5"/>
  <c r="A333" i="5"/>
  <c r="J333" i="5"/>
  <c r="A334" i="5"/>
  <c r="J334" i="5"/>
  <c r="A335" i="5"/>
  <c r="J335" i="5"/>
  <c r="A336" i="5"/>
  <c r="J336" i="5"/>
  <c r="A337" i="5"/>
  <c r="J337" i="5"/>
  <c r="A338" i="5"/>
  <c r="J338" i="5"/>
  <c r="A339" i="5"/>
  <c r="J339" i="5"/>
  <c r="A340" i="5"/>
  <c r="J340" i="5"/>
  <c r="A341" i="5"/>
  <c r="J341" i="5"/>
  <c r="A342" i="5"/>
  <c r="J342" i="5"/>
  <c r="A343" i="5"/>
  <c r="J343" i="5"/>
  <c r="A344" i="5"/>
  <c r="J344" i="5"/>
  <c r="A345" i="5"/>
  <c r="J345" i="5"/>
  <c r="A346" i="5"/>
  <c r="J346" i="5"/>
  <c r="A347" i="5"/>
  <c r="J347" i="5"/>
  <c r="A348" i="5"/>
  <c r="J348" i="5"/>
  <c r="A349" i="5"/>
  <c r="J349" i="5"/>
  <c r="A350" i="5"/>
  <c r="J350" i="5"/>
  <c r="A351" i="5"/>
  <c r="J351" i="5"/>
  <c r="A352" i="5"/>
  <c r="J352" i="5"/>
  <c r="A353" i="5"/>
  <c r="J353" i="5"/>
  <c r="A354" i="5"/>
  <c r="J354" i="5"/>
  <c r="A355" i="5"/>
  <c r="J355" i="5"/>
  <c r="A356" i="5"/>
  <c r="J356" i="5"/>
  <c r="A357" i="5"/>
  <c r="J357" i="5"/>
  <c r="A358" i="5"/>
  <c r="J358" i="5"/>
  <c r="A359" i="5"/>
  <c r="J359" i="5"/>
  <c r="A360" i="5"/>
  <c r="J360" i="5"/>
  <c r="A361" i="5"/>
  <c r="J361" i="5"/>
  <c r="A362" i="5"/>
  <c r="J362" i="5"/>
  <c r="A363" i="5"/>
  <c r="J363" i="5"/>
  <c r="A364" i="5"/>
  <c r="J364" i="5"/>
  <c r="A365" i="5"/>
  <c r="J365" i="5"/>
  <c r="A366" i="5"/>
  <c r="J366" i="5"/>
  <c r="A367" i="5"/>
  <c r="J367" i="5"/>
  <c r="A368" i="5"/>
  <c r="J368" i="5"/>
  <c r="A369" i="5"/>
  <c r="J369" i="5"/>
  <c r="A370" i="5"/>
  <c r="J370" i="5"/>
  <c r="A371" i="5"/>
  <c r="J371" i="5"/>
  <c r="A372" i="5"/>
  <c r="J372" i="5"/>
  <c r="A373" i="5"/>
  <c r="J373" i="5"/>
  <c r="A374" i="5"/>
  <c r="J374" i="5"/>
  <c r="A375" i="5"/>
  <c r="J375" i="5"/>
  <c r="A376" i="5"/>
  <c r="J376" i="5"/>
  <c r="A377" i="5"/>
  <c r="J377" i="5"/>
  <c r="A378" i="5"/>
  <c r="J378" i="5"/>
  <c r="A379" i="5"/>
  <c r="J379" i="5"/>
  <c r="A380" i="5"/>
  <c r="J380" i="5"/>
  <c r="A381" i="5"/>
  <c r="J381" i="5"/>
  <c r="A382" i="5"/>
  <c r="J382" i="5"/>
  <c r="A383" i="5"/>
  <c r="J383" i="5"/>
  <c r="A384" i="5"/>
  <c r="J384" i="5"/>
  <c r="A385" i="5"/>
  <c r="J385" i="5"/>
  <c r="A386" i="5"/>
  <c r="J386" i="5"/>
  <c r="A387" i="5"/>
  <c r="J387" i="5"/>
  <c r="A388" i="5"/>
  <c r="J388" i="5"/>
  <c r="A389" i="5"/>
  <c r="J389" i="5"/>
  <c r="A390" i="5"/>
  <c r="J390" i="5"/>
  <c r="A391" i="5"/>
  <c r="J391" i="5"/>
  <c r="A392" i="5"/>
  <c r="J392" i="5"/>
  <c r="A393" i="5"/>
  <c r="J393" i="5"/>
  <c r="A394" i="5"/>
  <c r="J394" i="5"/>
  <c r="A395" i="5"/>
  <c r="J395" i="5"/>
  <c r="A396" i="5"/>
  <c r="J396" i="5"/>
  <c r="A397" i="5"/>
  <c r="J397" i="5"/>
  <c r="A398" i="5"/>
  <c r="J398" i="5"/>
  <c r="A399" i="5"/>
  <c r="J399" i="5"/>
  <c r="A400" i="5"/>
  <c r="J400" i="5"/>
  <c r="A401" i="5"/>
  <c r="J401" i="5"/>
  <c r="A402" i="5"/>
  <c r="J402" i="5"/>
  <c r="A403" i="5"/>
  <c r="J403" i="5"/>
  <c r="A404" i="5"/>
  <c r="J404" i="5"/>
  <c r="A405" i="5"/>
  <c r="J405" i="5"/>
  <c r="A406" i="5"/>
  <c r="J406" i="5"/>
  <c r="A407" i="5"/>
  <c r="J407" i="5"/>
  <c r="A408" i="5"/>
  <c r="J408" i="5"/>
  <c r="A409" i="5"/>
  <c r="J409" i="5"/>
  <c r="A410" i="5"/>
  <c r="J410" i="5"/>
  <c r="A411" i="5"/>
  <c r="J411" i="5"/>
  <c r="A412" i="5"/>
  <c r="J412" i="5"/>
  <c r="A413" i="5"/>
  <c r="J413" i="5"/>
  <c r="A414" i="5"/>
  <c r="J414" i="5"/>
  <c r="A415" i="5"/>
  <c r="J415" i="5"/>
  <c r="A416" i="5"/>
  <c r="J416" i="5"/>
  <c r="A417" i="5"/>
  <c r="J417" i="5"/>
  <c r="A418" i="5"/>
  <c r="J418" i="5"/>
  <c r="A419" i="5"/>
  <c r="J419" i="5"/>
  <c r="A420" i="5"/>
  <c r="J420" i="5"/>
  <c r="A421" i="5"/>
  <c r="J421" i="5"/>
  <c r="A422" i="5"/>
  <c r="J422" i="5"/>
  <c r="A423" i="5"/>
  <c r="J423" i="5"/>
  <c r="A424" i="5"/>
  <c r="J424" i="5"/>
  <c r="A425" i="5"/>
  <c r="J425" i="5"/>
  <c r="A426" i="5"/>
  <c r="J426" i="5"/>
  <c r="A427" i="5"/>
  <c r="J427" i="5"/>
  <c r="A428" i="5"/>
  <c r="J428" i="5"/>
  <c r="A429" i="5"/>
  <c r="J429" i="5"/>
  <c r="A430" i="5"/>
  <c r="J430" i="5"/>
  <c r="A431" i="5"/>
  <c r="J431" i="5"/>
  <c r="A432" i="5"/>
  <c r="J432" i="5"/>
  <c r="A433" i="5"/>
  <c r="J433" i="5"/>
  <c r="A434" i="5"/>
  <c r="J434" i="5"/>
  <c r="A435" i="5"/>
  <c r="J435" i="5"/>
  <c r="A436" i="5"/>
  <c r="J436" i="5"/>
  <c r="A437" i="5"/>
  <c r="J437" i="5"/>
  <c r="A438" i="5"/>
  <c r="J438" i="5"/>
  <c r="A439" i="5"/>
  <c r="J439" i="5"/>
  <c r="A440" i="5"/>
  <c r="J440" i="5"/>
  <c r="A441" i="5"/>
  <c r="J441" i="5"/>
  <c r="A442" i="5"/>
  <c r="J442" i="5"/>
  <c r="A443" i="5"/>
  <c r="J443" i="5"/>
  <c r="A444" i="5"/>
  <c r="J444" i="5"/>
  <c r="A445" i="5"/>
  <c r="J445" i="5"/>
  <c r="A446" i="5"/>
  <c r="J446" i="5"/>
  <c r="A447" i="5"/>
  <c r="J447" i="5"/>
  <c r="A448" i="5"/>
  <c r="J448" i="5"/>
  <c r="A449" i="5"/>
  <c r="J449" i="5"/>
  <c r="A450" i="5"/>
  <c r="J450" i="5"/>
  <c r="A451" i="5"/>
  <c r="J451" i="5"/>
  <c r="A452" i="5"/>
  <c r="J452" i="5"/>
  <c r="A453" i="5"/>
  <c r="J453" i="5"/>
  <c r="A454" i="5"/>
  <c r="J454" i="5"/>
  <c r="A455" i="5"/>
  <c r="J455" i="5"/>
  <c r="A456" i="5"/>
  <c r="J456" i="5"/>
  <c r="A457" i="5"/>
  <c r="J457" i="5"/>
  <c r="A458" i="5"/>
  <c r="J458" i="5"/>
  <c r="A459" i="5"/>
  <c r="J459" i="5"/>
  <c r="A460" i="5"/>
  <c r="J460" i="5"/>
  <c r="A461" i="5"/>
  <c r="J461" i="5"/>
  <c r="A462" i="5"/>
  <c r="J462" i="5"/>
  <c r="A463" i="5"/>
  <c r="J463" i="5"/>
  <c r="A464" i="5"/>
  <c r="J464" i="5"/>
  <c r="A465" i="5"/>
  <c r="J465" i="5"/>
  <c r="A466" i="5"/>
  <c r="J466" i="5"/>
  <c r="A467" i="5"/>
  <c r="J467" i="5"/>
  <c r="A468" i="5"/>
  <c r="J468" i="5"/>
  <c r="A469" i="5"/>
  <c r="J469" i="5"/>
  <c r="A470" i="5"/>
  <c r="J470" i="5"/>
  <c r="A471" i="5"/>
  <c r="J471" i="5"/>
  <c r="A472" i="5"/>
  <c r="J472" i="5"/>
  <c r="A473" i="5"/>
  <c r="J473" i="5"/>
  <c r="A474" i="5"/>
  <c r="J474" i="5"/>
  <c r="A475" i="5"/>
  <c r="J475" i="5"/>
  <c r="A476" i="5"/>
  <c r="J476" i="5"/>
  <c r="A477" i="5"/>
  <c r="J477" i="5"/>
  <c r="A478" i="5"/>
  <c r="J478" i="5"/>
  <c r="A479" i="5"/>
  <c r="J479" i="5"/>
  <c r="A480" i="5"/>
  <c r="J480" i="5"/>
  <c r="A481" i="5"/>
  <c r="J481" i="5"/>
  <c r="A482" i="5"/>
  <c r="J482" i="5"/>
  <c r="A483" i="5"/>
  <c r="J483" i="5"/>
  <c r="A484" i="5"/>
  <c r="J484" i="5"/>
  <c r="A485" i="5"/>
  <c r="J485" i="5"/>
  <c r="A486" i="5"/>
  <c r="J486" i="5"/>
  <c r="A487" i="5"/>
  <c r="J487" i="5"/>
  <c r="A488" i="5"/>
  <c r="J488" i="5"/>
  <c r="A489" i="5"/>
  <c r="J489" i="5"/>
  <c r="A490" i="5"/>
  <c r="J490" i="5"/>
  <c r="A491" i="5"/>
  <c r="J491" i="5"/>
  <c r="A492" i="5"/>
  <c r="J492" i="5"/>
  <c r="A493" i="5"/>
  <c r="J493" i="5"/>
  <c r="A494" i="5"/>
  <c r="J494" i="5"/>
  <c r="A495" i="5"/>
  <c r="J495" i="5"/>
  <c r="A496" i="5"/>
  <c r="J496" i="5"/>
  <c r="A497" i="5"/>
  <c r="J497" i="5"/>
  <c r="A498" i="5"/>
  <c r="J498" i="5"/>
  <c r="A499" i="5"/>
  <c r="J499" i="5"/>
  <c r="A500" i="5"/>
  <c r="J500" i="5"/>
  <c r="A501" i="5"/>
  <c r="J501" i="5"/>
  <c r="A502" i="5"/>
  <c r="J502" i="5"/>
  <c r="A503" i="5"/>
  <c r="J503" i="5"/>
  <c r="A504" i="5"/>
  <c r="J504" i="5"/>
  <c r="A505" i="5"/>
  <c r="J505" i="5"/>
  <c r="A506" i="5"/>
  <c r="J506" i="5"/>
  <c r="A507" i="5"/>
  <c r="J507" i="5"/>
  <c r="A508" i="5"/>
  <c r="J508" i="5"/>
  <c r="A509" i="5"/>
  <c r="J509" i="5"/>
  <c r="A510" i="5"/>
  <c r="J510" i="5"/>
  <c r="A511" i="5"/>
  <c r="J511" i="5"/>
  <c r="A512" i="5"/>
  <c r="J512" i="5"/>
  <c r="A513" i="5"/>
  <c r="J513" i="5"/>
  <c r="A514" i="5"/>
  <c r="J514" i="5"/>
  <c r="A515" i="5"/>
  <c r="J515" i="5"/>
  <c r="A516" i="5"/>
  <c r="J516" i="5"/>
  <c r="A517" i="5"/>
  <c r="J517" i="5"/>
  <c r="A518" i="5"/>
  <c r="J518" i="5"/>
  <c r="A519" i="5"/>
  <c r="J519" i="5"/>
  <c r="A520" i="5"/>
  <c r="J520" i="5"/>
  <c r="A521" i="5"/>
  <c r="J521" i="5"/>
  <c r="A522" i="5"/>
  <c r="J522" i="5"/>
  <c r="A523" i="5"/>
  <c r="J523" i="5"/>
  <c r="A524" i="5"/>
  <c r="J524" i="5"/>
  <c r="A525" i="5"/>
  <c r="J525" i="5"/>
  <c r="A526" i="5"/>
  <c r="J526" i="5"/>
  <c r="A527" i="5"/>
  <c r="J527" i="5"/>
  <c r="A528" i="5"/>
  <c r="J528" i="5"/>
  <c r="A529" i="5"/>
  <c r="J529" i="5"/>
  <c r="A530" i="5"/>
  <c r="J530" i="5"/>
  <c r="A531" i="5"/>
  <c r="J531" i="5"/>
  <c r="A532" i="5"/>
  <c r="J532" i="5"/>
  <c r="A533" i="5"/>
  <c r="J533" i="5"/>
  <c r="A534" i="5"/>
  <c r="J534" i="5"/>
  <c r="A535" i="5"/>
  <c r="J535" i="5"/>
  <c r="A536" i="5"/>
  <c r="J536" i="5"/>
  <c r="A537" i="5"/>
  <c r="J537" i="5"/>
  <c r="A538" i="5"/>
  <c r="J538" i="5"/>
  <c r="A539" i="5"/>
  <c r="J539" i="5"/>
  <c r="A540" i="5"/>
  <c r="J540" i="5"/>
  <c r="A541" i="5"/>
  <c r="J541" i="5"/>
  <c r="A542" i="5"/>
  <c r="J542" i="5"/>
  <c r="A543" i="5"/>
  <c r="J543" i="5"/>
  <c r="A544" i="5"/>
  <c r="J544" i="5"/>
  <c r="A545" i="5"/>
  <c r="J545" i="5"/>
  <c r="A546" i="5"/>
  <c r="J546" i="5"/>
  <c r="A547" i="5"/>
  <c r="J547" i="5"/>
  <c r="A548" i="5"/>
  <c r="J548" i="5"/>
  <c r="A549" i="5"/>
  <c r="J549" i="5"/>
  <c r="A550" i="5"/>
  <c r="J550" i="5"/>
  <c r="A551" i="5"/>
  <c r="J551" i="5"/>
  <c r="A552" i="5"/>
  <c r="J552" i="5"/>
  <c r="A553" i="5"/>
  <c r="J553" i="5"/>
  <c r="A554" i="5"/>
  <c r="J554" i="5"/>
  <c r="A555" i="5"/>
  <c r="J555" i="5"/>
  <c r="A556" i="5"/>
  <c r="J556" i="5"/>
  <c r="A557" i="5"/>
  <c r="J557" i="5"/>
  <c r="A558" i="5"/>
  <c r="J558" i="5"/>
  <c r="A559" i="5"/>
  <c r="J559" i="5"/>
  <c r="A560" i="5"/>
  <c r="J560" i="5"/>
  <c r="A561" i="5"/>
  <c r="J561" i="5"/>
  <c r="A562" i="5"/>
  <c r="J562" i="5"/>
  <c r="A563" i="5"/>
  <c r="J563" i="5"/>
  <c r="A564" i="5"/>
  <c r="J564" i="5"/>
  <c r="A565" i="5"/>
  <c r="J565" i="5"/>
  <c r="A566" i="5"/>
  <c r="J566" i="5"/>
  <c r="A567" i="5"/>
  <c r="J567" i="5"/>
  <c r="A568" i="5"/>
  <c r="J568" i="5"/>
  <c r="A569" i="5"/>
  <c r="J569" i="5"/>
  <c r="A570" i="5"/>
  <c r="J570" i="5"/>
  <c r="A571" i="5"/>
  <c r="J571" i="5"/>
  <c r="A572" i="5"/>
  <c r="J572" i="5"/>
  <c r="A573" i="5"/>
  <c r="J573" i="5"/>
  <c r="A574" i="5"/>
  <c r="J574" i="5"/>
  <c r="A575" i="5"/>
  <c r="J575" i="5"/>
  <c r="A576" i="5"/>
  <c r="J576" i="5"/>
  <c r="A577" i="5"/>
  <c r="J577" i="5"/>
  <c r="A578" i="5"/>
  <c r="J578" i="5"/>
  <c r="A579" i="5"/>
  <c r="J579" i="5"/>
  <c r="A580" i="5"/>
  <c r="J580" i="5"/>
  <c r="A581" i="5"/>
  <c r="J581" i="5"/>
  <c r="A582" i="5"/>
  <c r="J582" i="5"/>
  <c r="A583" i="5"/>
  <c r="J583" i="5"/>
  <c r="A584" i="5"/>
  <c r="J584" i="5"/>
  <c r="A585" i="5"/>
  <c r="J585" i="5"/>
  <c r="A586" i="5"/>
  <c r="J586" i="5"/>
  <c r="A587" i="5"/>
  <c r="J587" i="5"/>
  <c r="A588" i="5"/>
  <c r="J588" i="5"/>
  <c r="A589" i="5"/>
  <c r="J589" i="5"/>
  <c r="A590" i="5"/>
  <c r="J590" i="5"/>
  <c r="A591" i="5"/>
  <c r="J591" i="5"/>
  <c r="A592" i="5"/>
  <c r="J592" i="5"/>
  <c r="A593" i="5"/>
  <c r="J593" i="5"/>
  <c r="A594" i="5"/>
  <c r="J594" i="5"/>
  <c r="A595" i="5"/>
  <c r="J595" i="5"/>
  <c r="A596" i="5"/>
  <c r="J596" i="5"/>
  <c r="A597" i="5"/>
  <c r="J597" i="5"/>
  <c r="A598" i="5"/>
  <c r="J598" i="5"/>
  <c r="A599" i="5"/>
  <c r="J599" i="5"/>
  <c r="A600" i="5"/>
  <c r="J600" i="5"/>
  <c r="A601" i="5"/>
  <c r="J601" i="5"/>
  <c r="A602" i="5"/>
  <c r="J602" i="5"/>
  <c r="A603" i="5"/>
  <c r="J603" i="5"/>
  <c r="A604" i="5"/>
  <c r="J604" i="5"/>
  <c r="A605" i="5"/>
  <c r="J605" i="5"/>
  <c r="A606" i="5"/>
  <c r="J606" i="5"/>
  <c r="A607" i="5"/>
  <c r="J607" i="5"/>
  <c r="A608" i="5"/>
  <c r="J608" i="5"/>
  <c r="A609" i="5"/>
  <c r="J609" i="5"/>
  <c r="A610" i="5"/>
  <c r="J610" i="5"/>
  <c r="A611" i="5"/>
  <c r="J611" i="5"/>
  <c r="A612" i="5"/>
  <c r="J612" i="5"/>
  <c r="A613" i="5"/>
  <c r="J613" i="5"/>
  <c r="A614" i="5"/>
  <c r="J614" i="5"/>
  <c r="A615" i="5"/>
  <c r="J615" i="5"/>
  <c r="A616" i="5"/>
  <c r="J616" i="5"/>
  <c r="A617" i="5"/>
  <c r="J617" i="5"/>
  <c r="A618" i="5"/>
  <c r="J618" i="5"/>
  <c r="A619" i="5"/>
  <c r="J619" i="5"/>
  <c r="A620" i="5"/>
  <c r="J620" i="5"/>
  <c r="A621" i="5"/>
  <c r="J621" i="5"/>
  <c r="A622" i="5"/>
  <c r="J622" i="5"/>
  <c r="A623" i="5"/>
  <c r="J623" i="5"/>
  <c r="A624" i="5"/>
  <c r="J624" i="5"/>
  <c r="A625" i="5"/>
  <c r="J625" i="5"/>
  <c r="A626" i="5"/>
  <c r="J626" i="5"/>
  <c r="A627" i="5"/>
  <c r="J627" i="5"/>
  <c r="A628" i="5"/>
  <c r="J628" i="5"/>
  <c r="A629" i="5"/>
  <c r="J629" i="5"/>
  <c r="A630" i="5"/>
  <c r="J630" i="5"/>
  <c r="A631" i="5"/>
  <c r="J631" i="5"/>
  <c r="A632" i="5"/>
  <c r="J632" i="5"/>
  <c r="A633" i="5"/>
  <c r="J633" i="5"/>
  <c r="A634" i="5"/>
  <c r="J634" i="5"/>
  <c r="A635" i="5"/>
  <c r="J635" i="5"/>
  <c r="A636" i="5"/>
  <c r="J636" i="5"/>
  <c r="A637" i="5"/>
  <c r="J637" i="5"/>
  <c r="A638" i="5"/>
  <c r="J638" i="5"/>
  <c r="A639" i="5"/>
  <c r="J639" i="5"/>
  <c r="A640" i="5"/>
  <c r="J640" i="5"/>
  <c r="A641" i="5"/>
  <c r="J641" i="5"/>
  <c r="A642" i="5"/>
  <c r="J642" i="5"/>
  <c r="A643" i="5"/>
  <c r="J643" i="5"/>
  <c r="A644" i="5"/>
  <c r="J644" i="5"/>
  <c r="A645" i="5"/>
  <c r="J645" i="5"/>
  <c r="A646" i="5"/>
  <c r="J646" i="5"/>
  <c r="A647" i="5"/>
  <c r="J647" i="5"/>
  <c r="A648" i="5"/>
  <c r="J648" i="5"/>
  <c r="A649" i="5"/>
  <c r="J649" i="5"/>
  <c r="A650" i="5"/>
  <c r="J650" i="5"/>
  <c r="A651" i="5"/>
  <c r="J651" i="5"/>
  <c r="A652" i="5"/>
  <c r="J652" i="5"/>
  <c r="A653" i="5"/>
  <c r="J653" i="5"/>
  <c r="A654" i="5"/>
  <c r="J654" i="5"/>
  <c r="A655" i="5"/>
  <c r="J655" i="5"/>
  <c r="A656" i="5"/>
  <c r="J656" i="5"/>
  <c r="A657" i="5"/>
  <c r="J657" i="5"/>
  <c r="A658" i="5"/>
  <c r="J658" i="5"/>
  <c r="A659" i="5"/>
  <c r="J659" i="5"/>
  <c r="A660" i="5"/>
  <c r="J660" i="5"/>
  <c r="A661" i="5"/>
  <c r="J661" i="5"/>
  <c r="A662" i="5"/>
  <c r="J662" i="5"/>
  <c r="A663" i="5"/>
  <c r="J663" i="5"/>
  <c r="A664" i="5"/>
  <c r="J664" i="5"/>
  <c r="A665" i="5"/>
  <c r="J665" i="5"/>
  <c r="A666" i="5"/>
  <c r="J666" i="5"/>
  <c r="A667" i="5"/>
  <c r="J667" i="5"/>
  <c r="A668" i="5"/>
  <c r="J668" i="5"/>
  <c r="A669" i="5"/>
  <c r="J669" i="5"/>
  <c r="A670" i="5"/>
  <c r="J670" i="5"/>
  <c r="A671" i="5"/>
  <c r="J671" i="5"/>
  <c r="A672" i="5"/>
  <c r="J672" i="5"/>
  <c r="A673" i="5"/>
  <c r="J673" i="5"/>
  <c r="A674" i="5"/>
  <c r="J674" i="5"/>
  <c r="A675" i="5"/>
  <c r="J675" i="5"/>
  <c r="A676" i="5"/>
  <c r="J676" i="5"/>
  <c r="A677" i="5"/>
  <c r="J677" i="5"/>
  <c r="A678" i="5"/>
  <c r="J678" i="5"/>
  <c r="A679" i="5"/>
  <c r="J679" i="5"/>
  <c r="A680" i="5"/>
  <c r="J680" i="5"/>
  <c r="A681" i="5"/>
  <c r="J681" i="5"/>
  <c r="A682" i="5"/>
  <c r="J682" i="5"/>
  <c r="A683" i="5"/>
  <c r="J683" i="5"/>
  <c r="A684" i="5"/>
  <c r="J684" i="5"/>
  <c r="A685" i="5"/>
  <c r="J685" i="5"/>
  <c r="A686" i="5"/>
  <c r="J686" i="5"/>
  <c r="A687" i="5"/>
  <c r="J687" i="5"/>
  <c r="A688" i="5"/>
  <c r="J688" i="5"/>
  <c r="A689" i="5"/>
  <c r="J689" i="5"/>
  <c r="A690" i="5"/>
  <c r="J690" i="5"/>
  <c r="A691" i="5"/>
  <c r="J691" i="5"/>
  <c r="A692" i="5"/>
  <c r="J692" i="5"/>
  <c r="A693" i="5"/>
  <c r="J693" i="5"/>
  <c r="A694" i="5"/>
  <c r="J694" i="5"/>
  <c r="A695" i="5"/>
  <c r="J695" i="5"/>
  <c r="A696" i="5"/>
  <c r="J696" i="5"/>
  <c r="A697" i="5"/>
  <c r="J697" i="5"/>
  <c r="A698" i="5"/>
  <c r="J698" i="5"/>
  <c r="A699" i="5"/>
  <c r="J699" i="5"/>
  <c r="A700" i="5"/>
  <c r="J700" i="5"/>
  <c r="A701" i="5"/>
  <c r="J701" i="5"/>
  <c r="A702" i="5"/>
  <c r="J702" i="5"/>
  <c r="A703" i="5"/>
  <c r="J703" i="5"/>
  <c r="A704" i="5"/>
  <c r="J704" i="5"/>
  <c r="A705" i="5"/>
  <c r="J705" i="5"/>
  <c r="A706" i="5"/>
  <c r="J706" i="5"/>
  <c r="A707" i="5"/>
  <c r="J707" i="5"/>
  <c r="A708" i="5"/>
  <c r="J708" i="5"/>
  <c r="A709" i="5"/>
  <c r="J709" i="5"/>
  <c r="A710" i="5"/>
  <c r="J710" i="5"/>
  <c r="A711" i="5"/>
  <c r="J711" i="5"/>
  <c r="A712" i="5"/>
  <c r="J712" i="5"/>
  <c r="A713" i="5"/>
  <c r="J713" i="5"/>
  <c r="A714" i="5"/>
  <c r="J714" i="5"/>
  <c r="A715" i="5"/>
  <c r="J715" i="5"/>
  <c r="A716" i="5"/>
  <c r="J716" i="5"/>
  <c r="A717" i="5"/>
  <c r="J717" i="5"/>
  <c r="A718" i="5"/>
  <c r="J718" i="5"/>
  <c r="A719" i="5"/>
  <c r="J719" i="5"/>
  <c r="A720" i="5"/>
  <c r="J720" i="5"/>
  <c r="A721" i="5"/>
  <c r="J721" i="5"/>
  <c r="A722" i="5"/>
  <c r="J722" i="5"/>
  <c r="A723" i="5"/>
  <c r="J723" i="5"/>
  <c r="A724" i="5"/>
  <c r="J724" i="5"/>
  <c r="A725" i="5"/>
  <c r="J725" i="5"/>
  <c r="A726" i="5"/>
  <c r="J726" i="5"/>
  <c r="A727" i="5"/>
  <c r="J727" i="5"/>
  <c r="A728" i="5"/>
  <c r="J728" i="5"/>
  <c r="A729" i="5"/>
  <c r="J729" i="5"/>
  <c r="A730" i="5"/>
  <c r="J730" i="5"/>
  <c r="A731" i="5"/>
  <c r="J731" i="5"/>
  <c r="A732" i="5"/>
  <c r="J732" i="5"/>
  <c r="A733" i="5"/>
  <c r="J733" i="5"/>
  <c r="A734" i="5"/>
  <c r="J734" i="5"/>
  <c r="A735" i="5"/>
  <c r="J735" i="5"/>
  <c r="A736" i="5"/>
  <c r="J736" i="5"/>
  <c r="A737" i="5"/>
  <c r="J737" i="5"/>
  <c r="A738" i="5"/>
  <c r="J738" i="5"/>
  <c r="A739" i="5"/>
  <c r="J739" i="5"/>
  <c r="A740" i="5"/>
  <c r="J740" i="5"/>
  <c r="A741" i="5"/>
  <c r="J741" i="5"/>
  <c r="A742" i="5"/>
  <c r="J742" i="5"/>
  <c r="A743" i="5"/>
  <c r="J743" i="5"/>
  <c r="A744" i="5"/>
  <c r="J744" i="5"/>
  <c r="A745" i="5"/>
  <c r="J745" i="5"/>
  <c r="A746" i="5"/>
  <c r="J746" i="5"/>
  <c r="A747" i="5"/>
  <c r="J747" i="5"/>
  <c r="A748" i="5"/>
  <c r="J748" i="5"/>
  <c r="A749" i="5"/>
  <c r="J749" i="5"/>
  <c r="A750" i="5"/>
  <c r="J750" i="5"/>
  <c r="A751" i="5"/>
  <c r="J751" i="5"/>
  <c r="A752" i="5"/>
  <c r="J752" i="5"/>
  <c r="A753" i="5"/>
  <c r="J753" i="5"/>
  <c r="A754" i="5"/>
  <c r="J754" i="5"/>
  <c r="A755" i="5"/>
  <c r="J755" i="5"/>
  <c r="A756" i="5"/>
  <c r="J756" i="5"/>
  <c r="A757" i="5"/>
  <c r="J757" i="5"/>
  <c r="A758" i="5"/>
  <c r="J758" i="5"/>
  <c r="A759" i="5"/>
  <c r="J759" i="5"/>
  <c r="A760" i="5"/>
  <c r="J760" i="5"/>
  <c r="A761" i="5"/>
  <c r="J761" i="5"/>
  <c r="A762" i="5"/>
  <c r="J762" i="5"/>
  <c r="A763" i="5"/>
  <c r="J763" i="5"/>
  <c r="A764" i="5"/>
  <c r="J764" i="5"/>
  <c r="A765" i="5"/>
  <c r="J765" i="5"/>
  <c r="A766" i="5"/>
  <c r="J766" i="5"/>
  <c r="A767" i="5"/>
  <c r="J767" i="5"/>
  <c r="A768" i="5"/>
  <c r="J768" i="5"/>
  <c r="A769" i="5"/>
  <c r="J769" i="5"/>
  <c r="A770" i="5"/>
  <c r="J770" i="5"/>
  <c r="A771" i="5"/>
  <c r="J771" i="5"/>
  <c r="A772" i="5"/>
  <c r="J772" i="5"/>
  <c r="A773" i="5"/>
  <c r="J773" i="5"/>
  <c r="A774" i="5"/>
  <c r="J774" i="5"/>
  <c r="A775" i="5"/>
  <c r="J775" i="5"/>
  <c r="A776" i="5"/>
  <c r="J776" i="5"/>
  <c r="A777" i="5"/>
  <c r="J777" i="5"/>
  <c r="A778" i="5"/>
  <c r="J778" i="5"/>
  <c r="A779" i="5"/>
  <c r="J779" i="5"/>
  <c r="A780" i="5"/>
  <c r="J780" i="5"/>
  <c r="A781" i="5"/>
  <c r="J781" i="5"/>
  <c r="A782" i="5"/>
  <c r="J782" i="5"/>
  <c r="A783" i="5"/>
  <c r="J783" i="5"/>
  <c r="A784" i="5"/>
  <c r="J784" i="5"/>
  <c r="A785" i="5"/>
  <c r="J785" i="5"/>
  <c r="A786" i="5"/>
  <c r="J786" i="5"/>
  <c r="A787" i="5"/>
  <c r="J787" i="5"/>
  <c r="A788" i="5"/>
  <c r="J788" i="5"/>
  <c r="A789" i="5"/>
  <c r="J789" i="5"/>
  <c r="A790" i="5"/>
  <c r="J790" i="5"/>
  <c r="A791" i="5"/>
  <c r="J791" i="5"/>
  <c r="A792" i="5"/>
  <c r="J792" i="5"/>
  <c r="A793" i="5"/>
  <c r="J793" i="5"/>
  <c r="A794" i="5"/>
  <c r="J794" i="5"/>
  <c r="A795" i="5"/>
  <c r="J795" i="5"/>
  <c r="A796" i="5"/>
  <c r="J796" i="5"/>
  <c r="A797" i="5"/>
  <c r="J797" i="5"/>
  <c r="A798" i="5"/>
  <c r="J798" i="5"/>
  <c r="A799" i="5"/>
  <c r="J799" i="5"/>
  <c r="A800" i="5"/>
  <c r="J800" i="5"/>
  <c r="A801" i="5"/>
  <c r="J801" i="5"/>
  <c r="A802" i="5"/>
  <c r="J802" i="5"/>
  <c r="A803" i="5"/>
  <c r="J803" i="5"/>
  <c r="A804" i="5"/>
  <c r="J804" i="5"/>
  <c r="A805" i="5"/>
  <c r="J805" i="5"/>
  <c r="A806" i="5"/>
  <c r="J806" i="5"/>
  <c r="A807" i="5"/>
  <c r="J807" i="5"/>
  <c r="A808" i="5"/>
  <c r="J808" i="5"/>
  <c r="A809" i="5"/>
  <c r="J809" i="5"/>
  <c r="A810" i="5"/>
  <c r="J810" i="5"/>
  <c r="A811" i="5"/>
  <c r="J811" i="5"/>
  <c r="A812" i="5"/>
  <c r="J812" i="5"/>
  <c r="A813" i="5"/>
  <c r="J813" i="5"/>
  <c r="A814" i="5"/>
  <c r="J814" i="5"/>
  <c r="A815" i="5"/>
  <c r="J815" i="5"/>
  <c r="A816" i="5"/>
  <c r="J816" i="5"/>
  <c r="A817" i="5"/>
  <c r="J817" i="5"/>
  <c r="A818" i="5"/>
  <c r="J818" i="5"/>
  <c r="A819" i="5"/>
  <c r="J819" i="5"/>
  <c r="A820" i="5"/>
  <c r="J820" i="5"/>
  <c r="A821" i="5"/>
  <c r="J821" i="5"/>
  <c r="A822" i="5"/>
  <c r="J822" i="5"/>
  <c r="A823" i="5"/>
  <c r="J823" i="5"/>
  <c r="A824" i="5"/>
  <c r="J824" i="5"/>
  <c r="A825" i="5"/>
  <c r="J825" i="5"/>
  <c r="A826" i="5"/>
  <c r="J826" i="5"/>
  <c r="A827" i="5"/>
  <c r="J827" i="5"/>
  <c r="A828" i="5"/>
  <c r="J828" i="5"/>
  <c r="A829" i="5"/>
  <c r="J829" i="5"/>
  <c r="A830" i="5"/>
  <c r="J830" i="5"/>
  <c r="A831" i="5"/>
  <c r="J831" i="5"/>
  <c r="A832" i="5"/>
  <c r="J832" i="5"/>
  <c r="A833" i="5"/>
  <c r="J833" i="5"/>
  <c r="A834" i="5"/>
  <c r="J834" i="5"/>
  <c r="A835" i="5"/>
  <c r="J835" i="5"/>
  <c r="A836" i="5"/>
  <c r="J836" i="5"/>
  <c r="A837" i="5"/>
  <c r="J837" i="5"/>
  <c r="A838" i="5"/>
  <c r="J838" i="5"/>
  <c r="A839" i="5"/>
  <c r="J839" i="5"/>
  <c r="A840" i="5"/>
  <c r="J840" i="5"/>
  <c r="A841" i="5"/>
  <c r="J841" i="5"/>
  <c r="A842" i="5"/>
  <c r="J842" i="5"/>
  <c r="A843" i="5"/>
  <c r="J843" i="5"/>
  <c r="A844" i="5"/>
  <c r="J844" i="5"/>
  <c r="A845" i="5"/>
  <c r="J845" i="5"/>
  <c r="A846" i="5"/>
  <c r="J846" i="5"/>
  <c r="A847" i="5"/>
  <c r="J847" i="5"/>
  <c r="A848" i="5"/>
  <c r="J848" i="5"/>
  <c r="A849" i="5"/>
  <c r="J849" i="5"/>
  <c r="A850" i="5"/>
  <c r="J850" i="5"/>
  <c r="A851" i="5"/>
  <c r="J851" i="5"/>
  <c r="A852" i="5"/>
  <c r="J852" i="5"/>
  <c r="A853" i="5"/>
  <c r="J853" i="5"/>
  <c r="A854" i="5"/>
  <c r="J854" i="5"/>
  <c r="A855" i="5"/>
  <c r="J855" i="5"/>
  <c r="A856" i="5"/>
  <c r="J856" i="5"/>
  <c r="A857" i="5"/>
  <c r="J857" i="5"/>
  <c r="A858" i="5"/>
  <c r="J858" i="5"/>
  <c r="A859" i="5"/>
  <c r="J859" i="5"/>
  <c r="A860" i="5"/>
  <c r="J860" i="5"/>
  <c r="A861" i="5"/>
  <c r="J861" i="5"/>
  <c r="A862" i="5"/>
  <c r="J862" i="5"/>
  <c r="A863" i="5"/>
  <c r="J863" i="5"/>
  <c r="A864" i="5"/>
  <c r="J864" i="5"/>
  <c r="A865" i="5"/>
  <c r="J865" i="5"/>
  <c r="A866" i="5"/>
  <c r="J866" i="5"/>
  <c r="A867" i="5"/>
  <c r="J867" i="5"/>
  <c r="A868" i="5"/>
  <c r="J868" i="5"/>
  <c r="A869" i="5"/>
  <c r="J869" i="5"/>
  <c r="A870" i="5"/>
  <c r="J870" i="5"/>
  <c r="A871" i="5"/>
  <c r="J871" i="5"/>
  <c r="A872" i="5"/>
  <c r="J872" i="5"/>
  <c r="A873" i="5"/>
  <c r="A874" i="5"/>
  <c r="A875" i="5"/>
  <c r="A876" i="5"/>
  <c r="A877" i="5"/>
  <c r="A878" i="5"/>
  <c r="A879" i="5"/>
  <c r="A880" i="5"/>
  <c r="A881" i="5"/>
  <c r="J881" i="5"/>
  <c r="A882" i="5"/>
  <c r="J882" i="5"/>
  <c r="A883" i="5"/>
  <c r="J883" i="5"/>
  <c r="A884" i="5"/>
  <c r="J884" i="5"/>
  <c r="A885" i="5"/>
  <c r="J885" i="5"/>
  <c r="A886" i="5"/>
  <c r="J886" i="5"/>
  <c r="A887" i="5"/>
  <c r="J887" i="5"/>
  <c r="A888" i="5"/>
  <c r="J888" i="5"/>
  <c r="A889" i="5"/>
  <c r="J889" i="5"/>
  <c r="A890" i="5"/>
  <c r="J890" i="5"/>
  <c r="A891" i="5"/>
  <c r="J891" i="5"/>
  <c r="A892" i="5"/>
  <c r="J892" i="5"/>
  <c r="A893" i="5"/>
  <c r="J893" i="5"/>
  <c r="A894" i="5"/>
  <c r="J894" i="5"/>
  <c r="A895" i="5"/>
  <c r="J895" i="5"/>
  <c r="A896" i="5"/>
  <c r="J896" i="5"/>
  <c r="A897" i="5"/>
  <c r="J897" i="5"/>
  <c r="A898" i="5"/>
  <c r="J898" i="5"/>
  <c r="A899" i="5"/>
  <c r="J899" i="5"/>
  <c r="A900" i="5"/>
  <c r="J900" i="5"/>
  <c r="A901" i="5"/>
  <c r="J901" i="5"/>
  <c r="A902" i="5"/>
  <c r="J902" i="5"/>
  <c r="A903" i="5"/>
  <c r="J903" i="5"/>
  <c r="A904" i="5"/>
  <c r="J904" i="5"/>
  <c r="A905" i="5"/>
  <c r="J905" i="5"/>
  <c r="A906" i="5"/>
  <c r="J906" i="5"/>
  <c r="A907" i="5"/>
  <c r="J907" i="5"/>
  <c r="A908" i="5"/>
  <c r="J908" i="5"/>
  <c r="A909" i="5"/>
  <c r="J909" i="5"/>
  <c r="A910" i="5"/>
  <c r="J910" i="5"/>
  <c r="A911" i="5"/>
  <c r="J911" i="5"/>
  <c r="A912" i="5"/>
  <c r="J912" i="5"/>
  <c r="A913" i="5"/>
  <c r="J913" i="5"/>
  <c r="A914" i="5"/>
  <c r="J914" i="5"/>
  <c r="A915" i="5"/>
  <c r="J915" i="5"/>
  <c r="A916" i="5"/>
  <c r="J916" i="5"/>
  <c r="A917" i="5"/>
  <c r="J917" i="5"/>
  <c r="A918" i="5"/>
  <c r="J918" i="5"/>
  <c r="A919" i="5"/>
  <c r="J919" i="5"/>
  <c r="A920" i="5"/>
  <c r="J920" i="5"/>
  <c r="A921" i="5"/>
  <c r="J921" i="5"/>
  <c r="A922" i="5"/>
  <c r="J922" i="5"/>
  <c r="A923" i="5"/>
  <c r="J923" i="5"/>
  <c r="A924" i="5"/>
  <c r="J924" i="5"/>
  <c r="A925" i="5"/>
  <c r="J925" i="5"/>
  <c r="A926" i="5"/>
  <c r="J926" i="5"/>
  <c r="A927" i="5"/>
  <c r="J927" i="5"/>
  <c r="A928" i="5"/>
  <c r="J928" i="5"/>
  <c r="A929" i="5"/>
  <c r="J929" i="5"/>
  <c r="A930" i="5"/>
  <c r="J930" i="5"/>
  <c r="A931" i="5"/>
  <c r="J931" i="5"/>
  <c r="A932" i="5"/>
  <c r="J932" i="5"/>
  <c r="A933" i="5"/>
  <c r="J933" i="5"/>
  <c r="A934" i="5"/>
  <c r="J934" i="5"/>
  <c r="A935" i="5"/>
  <c r="J935" i="5"/>
  <c r="A936" i="5"/>
  <c r="J936" i="5"/>
  <c r="A937" i="5"/>
  <c r="J937" i="5"/>
  <c r="A938" i="5"/>
  <c r="J938" i="5"/>
  <c r="A939" i="5"/>
  <c r="J939" i="5"/>
  <c r="A940" i="5"/>
  <c r="J940" i="5"/>
  <c r="A941" i="5"/>
  <c r="J941" i="5"/>
  <c r="A942" i="5"/>
  <c r="J942" i="5"/>
  <c r="A943" i="5"/>
  <c r="J943" i="5"/>
  <c r="A944" i="5"/>
  <c r="J944" i="5"/>
  <c r="A945" i="5"/>
  <c r="J945" i="5"/>
  <c r="A946" i="5"/>
  <c r="J946" i="5"/>
  <c r="A947" i="5"/>
  <c r="J947" i="5"/>
  <c r="A948" i="5"/>
  <c r="J948" i="5"/>
  <c r="A949" i="5"/>
  <c r="J949" i="5"/>
  <c r="A950" i="5"/>
  <c r="J950" i="5"/>
  <c r="A951" i="5"/>
  <c r="J951" i="5"/>
  <c r="A952" i="5"/>
  <c r="J952" i="5"/>
  <c r="A953" i="5"/>
  <c r="J953" i="5"/>
  <c r="A954" i="5"/>
  <c r="J954" i="5"/>
  <c r="A955" i="5"/>
  <c r="J955" i="5"/>
  <c r="A956" i="5"/>
  <c r="J956" i="5"/>
  <c r="A957" i="5"/>
  <c r="J957" i="5"/>
  <c r="A958" i="5"/>
  <c r="J958" i="5"/>
  <c r="A959" i="5"/>
  <c r="J959" i="5"/>
  <c r="A960" i="5"/>
  <c r="J960" i="5"/>
  <c r="A961" i="5"/>
  <c r="J961" i="5"/>
  <c r="A962" i="5"/>
  <c r="J962" i="5"/>
  <c r="A963" i="5"/>
  <c r="J963" i="5"/>
  <c r="A964" i="5"/>
  <c r="J964" i="5"/>
  <c r="A965" i="5"/>
  <c r="J965" i="5"/>
  <c r="A966" i="5"/>
  <c r="J966" i="5"/>
  <c r="A967" i="5"/>
  <c r="J967" i="5"/>
  <c r="A968" i="5"/>
  <c r="J968" i="5"/>
  <c r="A969" i="5"/>
  <c r="J969" i="5"/>
  <c r="A970" i="5"/>
  <c r="J970" i="5"/>
  <c r="A971" i="5"/>
  <c r="J971" i="5"/>
  <c r="A972" i="5"/>
  <c r="J972" i="5"/>
  <c r="A973" i="5"/>
  <c r="J973" i="5"/>
  <c r="A974" i="5"/>
  <c r="J974" i="5"/>
  <c r="A975" i="5"/>
  <c r="J975" i="5"/>
  <c r="A976" i="5"/>
  <c r="J976" i="5"/>
  <c r="A977" i="5"/>
  <c r="J977" i="5"/>
  <c r="A978" i="5"/>
  <c r="J978" i="5"/>
  <c r="A979" i="5"/>
  <c r="J979" i="5"/>
  <c r="A980" i="5"/>
  <c r="J980" i="5"/>
  <c r="A981" i="5"/>
  <c r="J981" i="5"/>
  <c r="A982" i="5"/>
  <c r="J982" i="5"/>
  <c r="A983" i="5"/>
  <c r="J983" i="5"/>
  <c r="A984" i="5"/>
  <c r="J984" i="5"/>
  <c r="A985" i="5"/>
  <c r="J985" i="5"/>
  <c r="A986" i="5"/>
  <c r="J986" i="5"/>
  <c r="A987" i="5"/>
  <c r="J987" i="5"/>
  <c r="A988" i="5"/>
  <c r="J988" i="5"/>
  <c r="A989" i="5"/>
  <c r="J989" i="5"/>
  <c r="A990" i="5"/>
  <c r="J990" i="5"/>
  <c r="A991" i="5"/>
  <c r="J991" i="5"/>
  <c r="A992" i="5"/>
  <c r="J992" i="5"/>
  <c r="A993" i="5"/>
  <c r="J993" i="5"/>
  <c r="A994" i="5"/>
  <c r="J994" i="5"/>
  <c r="A995" i="5"/>
  <c r="J995" i="5"/>
  <c r="A996" i="5"/>
  <c r="J996" i="5"/>
  <c r="A997" i="5"/>
  <c r="J997" i="5"/>
  <c r="A998" i="5"/>
  <c r="J998" i="5"/>
  <c r="A999" i="5"/>
  <c r="J999" i="5"/>
  <c r="A1000" i="5"/>
  <c r="J1000" i="5"/>
  <c r="A1001" i="5"/>
  <c r="J1001" i="5"/>
  <c r="A1002" i="5"/>
  <c r="J1002" i="5"/>
  <c r="A1003" i="5"/>
  <c r="J1003" i="5"/>
  <c r="A1004" i="5"/>
  <c r="J1004" i="5"/>
  <c r="A1005" i="5"/>
  <c r="J1005" i="5"/>
  <c r="A1006" i="5"/>
  <c r="J1006" i="5"/>
  <c r="A1007" i="5"/>
  <c r="J1007" i="5"/>
  <c r="A1008" i="5"/>
  <c r="J1008" i="5"/>
  <c r="A1009" i="5"/>
  <c r="J1009" i="5"/>
  <c r="A1010" i="5"/>
  <c r="J1010" i="5"/>
  <c r="A1011" i="5"/>
  <c r="J1011" i="5"/>
  <c r="A1012" i="5"/>
  <c r="J1012" i="5"/>
  <c r="A1013" i="5"/>
  <c r="J1013" i="5"/>
  <c r="A1014" i="5"/>
  <c r="J1014" i="5"/>
  <c r="A1015" i="5"/>
  <c r="J1015" i="5"/>
  <c r="A1016" i="5"/>
  <c r="J1016" i="5"/>
  <c r="A1017" i="5"/>
  <c r="J1017" i="5"/>
  <c r="A1018" i="5"/>
  <c r="J1018" i="5"/>
  <c r="A1019" i="5"/>
  <c r="J1019" i="5"/>
  <c r="A1020" i="5"/>
  <c r="J1020" i="5"/>
  <c r="A1021" i="5"/>
  <c r="J1021" i="5"/>
  <c r="A1022" i="5"/>
  <c r="J1022" i="5"/>
  <c r="A1023" i="5"/>
  <c r="J1023" i="5"/>
  <c r="A1024" i="5"/>
  <c r="J1024" i="5"/>
  <c r="A1025" i="5"/>
  <c r="J1025" i="5"/>
  <c r="A1026" i="5"/>
  <c r="J1026" i="5"/>
  <c r="A1027" i="5"/>
  <c r="J1027" i="5"/>
  <c r="A1028" i="5"/>
  <c r="J1028" i="5"/>
  <c r="A1029" i="5"/>
  <c r="J1029" i="5"/>
  <c r="A1030" i="5"/>
  <c r="J1030" i="5"/>
  <c r="A1031" i="5"/>
  <c r="J1031" i="5"/>
  <c r="A1032" i="5"/>
  <c r="J1032" i="5"/>
  <c r="A1033" i="5"/>
  <c r="J1033" i="5"/>
  <c r="A1034" i="5"/>
  <c r="J1034" i="5"/>
  <c r="A1035" i="5"/>
  <c r="J1035" i="5"/>
  <c r="A1036" i="5"/>
  <c r="J1036" i="5"/>
  <c r="A1037" i="5"/>
  <c r="J1037" i="5"/>
  <c r="A1038" i="5"/>
  <c r="J1038" i="5"/>
  <c r="A1039" i="5"/>
  <c r="J1039" i="5"/>
  <c r="A1040" i="5"/>
  <c r="J1040" i="5"/>
  <c r="A1041" i="5"/>
  <c r="J1041" i="5"/>
  <c r="A1042" i="5"/>
  <c r="J1042" i="5"/>
  <c r="A1043" i="5"/>
  <c r="J1043" i="5"/>
  <c r="A1044" i="5"/>
  <c r="J1044" i="5"/>
  <c r="A1045" i="5"/>
  <c r="J1045" i="5"/>
  <c r="A1046" i="5"/>
  <c r="J1046" i="5"/>
  <c r="A1047" i="5"/>
  <c r="J1047" i="5"/>
  <c r="A1048" i="5"/>
  <c r="J1048" i="5"/>
  <c r="A1049" i="5"/>
  <c r="J1049" i="5"/>
  <c r="A1050" i="5"/>
  <c r="J1050" i="5"/>
  <c r="A1051" i="5"/>
  <c r="J1051" i="5"/>
  <c r="A1052" i="5"/>
  <c r="J1052" i="5"/>
  <c r="A1053" i="5"/>
  <c r="J1053" i="5"/>
  <c r="A1054" i="5"/>
  <c r="J1054" i="5"/>
  <c r="A1055" i="5"/>
  <c r="J1055" i="5"/>
  <c r="A1056" i="5"/>
  <c r="J1056" i="5"/>
  <c r="A1057" i="5"/>
  <c r="J1057" i="5"/>
  <c r="A1058" i="5"/>
  <c r="J1058" i="5"/>
  <c r="A1059" i="5"/>
  <c r="J1059" i="5"/>
  <c r="A1060" i="5"/>
  <c r="J1060" i="5"/>
  <c r="A1061" i="5"/>
  <c r="J1061" i="5"/>
  <c r="A1062" i="5"/>
  <c r="J1062" i="5"/>
  <c r="A1063" i="5"/>
  <c r="J1063" i="5"/>
  <c r="A1064" i="5"/>
  <c r="J1064" i="5"/>
  <c r="A1065" i="5"/>
  <c r="J1065" i="5"/>
  <c r="A1066" i="5"/>
  <c r="J1066" i="5"/>
  <c r="A1067" i="5"/>
  <c r="J1067" i="5"/>
  <c r="A1068" i="5"/>
  <c r="J1068" i="5"/>
  <c r="A1069" i="5"/>
  <c r="J1069" i="5"/>
  <c r="A1070" i="5"/>
  <c r="J1070" i="5"/>
  <c r="A1071" i="5"/>
  <c r="J1071" i="5"/>
  <c r="A1072" i="5"/>
  <c r="J1072" i="5"/>
  <c r="A1073" i="5"/>
  <c r="J1073" i="5"/>
  <c r="A1074" i="5"/>
  <c r="J1074" i="5"/>
  <c r="A1075" i="5"/>
  <c r="J1075" i="5"/>
  <c r="A1076" i="5"/>
  <c r="J1076" i="5"/>
  <c r="A1077" i="5"/>
  <c r="J1077" i="5"/>
  <c r="A1078" i="5"/>
  <c r="J1078" i="5"/>
  <c r="A1079" i="5"/>
  <c r="J1079" i="5"/>
  <c r="A1080" i="5"/>
  <c r="J1080" i="5"/>
  <c r="A1081" i="5"/>
  <c r="J1081" i="5"/>
  <c r="A1082" i="5"/>
  <c r="J1082" i="5"/>
  <c r="A1083" i="5"/>
  <c r="J1083" i="5"/>
  <c r="A1084" i="5"/>
  <c r="J1084" i="5"/>
  <c r="A1085" i="5"/>
  <c r="J1085" i="5"/>
  <c r="A1086" i="5"/>
  <c r="J1086" i="5"/>
  <c r="A1087" i="5"/>
  <c r="J1087" i="5"/>
  <c r="A1088" i="5"/>
  <c r="J1088" i="5"/>
  <c r="A1089" i="5"/>
  <c r="J1089" i="5"/>
  <c r="A1090" i="5"/>
  <c r="J1090" i="5"/>
  <c r="A1091" i="5"/>
  <c r="J1091" i="5"/>
  <c r="A1092" i="5"/>
  <c r="J1092" i="5"/>
  <c r="A1093" i="5"/>
  <c r="J1093" i="5"/>
  <c r="A1094" i="5"/>
  <c r="J1094" i="5"/>
  <c r="A1095" i="5"/>
  <c r="J1095" i="5"/>
  <c r="A1096" i="5"/>
  <c r="J1096" i="5"/>
  <c r="A1097" i="5"/>
  <c r="J1097" i="5"/>
  <c r="A1098" i="5"/>
  <c r="J1098" i="5"/>
  <c r="A1099" i="5"/>
  <c r="J1099" i="5"/>
  <c r="A1100" i="5"/>
  <c r="J1100" i="5"/>
  <c r="A1101" i="5"/>
  <c r="J1101" i="5"/>
  <c r="A1102" i="5"/>
  <c r="J1102" i="5"/>
  <c r="A1103" i="5"/>
  <c r="J1103" i="5"/>
  <c r="A1104" i="5"/>
  <c r="J1104" i="5"/>
  <c r="A1105" i="5"/>
  <c r="J1105" i="5"/>
  <c r="A1106" i="5"/>
  <c r="J1106" i="5"/>
  <c r="A1107" i="5"/>
  <c r="J1107" i="5"/>
  <c r="A1108" i="5"/>
  <c r="J1108" i="5"/>
  <c r="A1109" i="5"/>
  <c r="J1109" i="5"/>
  <c r="A1110" i="5"/>
  <c r="J1110" i="5"/>
  <c r="A1111" i="5"/>
  <c r="J1111" i="5"/>
  <c r="A1112" i="5"/>
  <c r="J1112" i="5"/>
  <c r="A1113" i="5"/>
  <c r="J1113" i="5"/>
  <c r="A1114" i="5"/>
  <c r="J1114" i="5"/>
  <c r="A1115" i="5"/>
  <c r="J1115" i="5"/>
  <c r="A1116" i="5"/>
  <c r="J1116" i="5"/>
  <c r="A1117" i="5"/>
  <c r="J1117" i="5"/>
  <c r="A1118" i="5"/>
  <c r="J1118" i="5"/>
  <c r="A1119" i="5"/>
  <c r="J1119" i="5"/>
  <c r="A1120" i="5"/>
  <c r="J1120" i="5"/>
  <c r="A1121" i="5"/>
  <c r="J1121" i="5"/>
  <c r="A1122" i="5"/>
  <c r="J1122" i="5"/>
  <c r="A1123" i="5"/>
  <c r="J1123" i="5"/>
  <c r="A1124" i="5"/>
  <c r="J1124" i="5"/>
  <c r="A1125" i="5"/>
  <c r="J1125" i="5"/>
  <c r="A1126" i="5"/>
  <c r="J1126" i="5"/>
  <c r="A1127" i="5"/>
  <c r="J1127" i="5"/>
  <c r="A1128" i="5"/>
  <c r="J1128" i="5"/>
  <c r="A1129" i="5"/>
  <c r="J1129" i="5"/>
  <c r="A1130" i="5"/>
  <c r="J1130" i="5"/>
  <c r="A1131" i="5"/>
  <c r="J1131" i="5"/>
  <c r="A1132" i="5"/>
  <c r="J1132" i="5"/>
  <c r="A1133" i="5"/>
  <c r="J1133" i="5"/>
  <c r="A1134" i="5"/>
  <c r="J1134" i="5"/>
  <c r="A1135" i="5"/>
  <c r="J1135" i="5"/>
  <c r="A1136" i="5"/>
  <c r="J1136" i="5"/>
  <c r="A1137" i="5"/>
  <c r="J1137" i="5"/>
  <c r="A1138" i="5"/>
  <c r="J1138" i="5"/>
  <c r="A1139" i="5"/>
  <c r="J1139" i="5"/>
  <c r="A1140" i="5"/>
  <c r="J1140" i="5"/>
  <c r="A1141" i="5"/>
  <c r="J1141" i="5"/>
  <c r="A1142" i="5"/>
  <c r="J1142" i="5"/>
  <c r="A1143" i="5"/>
  <c r="J1143" i="5"/>
  <c r="A1144" i="5"/>
  <c r="J1144" i="5"/>
  <c r="A1145" i="5"/>
  <c r="J1145" i="5"/>
  <c r="A1146" i="5"/>
  <c r="J1146" i="5"/>
  <c r="A1147" i="5"/>
  <c r="J1147" i="5"/>
  <c r="A1148" i="5"/>
  <c r="J1148" i="5"/>
  <c r="A1149" i="5"/>
  <c r="J1149" i="5"/>
  <c r="A1150" i="5"/>
  <c r="J1150" i="5"/>
  <c r="A1151" i="5"/>
  <c r="J1151" i="5"/>
  <c r="A1152" i="5"/>
  <c r="J1152" i="5"/>
  <c r="A1153" i="5"/>
  <c r="J1153" i="5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L2" i="4" s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H4" i="1"/>
  <c r="H5" i="1" s="1"/>
  <c r="F4" i="1"/>
  <c r="I3" i="1"/>
  <c r="F3" i="1"/>
  <c r="L7" i="4" l="1"/>
  <c r="L4" i="4"/>
  <c r="L8" i="4"/>
  <c r="L6" i="4"/>
  <c r="L9" i="4"/>
  <c r="L10" i="4"/>
  <c r="L11" i="4"/>
  <c r="L5" i="4"/>
  <c r="L12" i="4"/>
  <c r="L3" i="4"/>
  <c r="L13" i="4"/>
  <c r="L19" i="4"/>
  <c r="L14" i="4"/>
  <c r="L20" i="4"/>
  <c r="L15" i="4"/>
  <c r="L16" i="4"/>
  <c r="L17" i="4"/>
  <c r="L18" i="4"/>
  <c r="G20" i="4"/>
  <c r="D22" i="3" s="1"/>
  <c r="G12" i="4"/>
  <c r="D14" i="3" s="1"/>
  <c r="G22" i="4"/>
  <c r="D24" i="3" s="1"/>
  <c r="G14" i="4"/>
  <c r="D16" i="3" s="1"/>
  <c r="G24" i="4"/>
  <c r="D26" i="3" s="1"/>
  <c r="G23" i="4"/>
  <c r="D25" i="3" s="1"/>
  <c r="G21" i="4"/>
  <c r="D23" i="3" s="1"/>
  <c r="G15" i="4"/>
  <c r="D17" i="3" s="1"/>
  <c r="G13" i="4"/>
  <c r="D15" i="3" s="1"/>
  <c r="G11" i="4"/>
  <c r="D13" i="3" s="1"/>
  <c r="G19" i="4"/>
  <c r="D21" i="3" s="1"/>
  <c r="G9" i="4"/>
  <c r="D11" i="3" s="1"/>
  <c r="G16" i="4"/>
  <c r="D18" i="3" s="1"/>
  <c r="G3" i="4"/>
  <c r="D5" i="3" s="1"/>
  <c r="G10" i="4"/>
  <c r="D12" i="3" s="1"/>
  <c r="G25" i="4"/>
  <c r="D27" i="3" s="1"/>
  <c r="G18" i="4"/>
  <c r="D20" i="3" s="1"/>
  <c r="G17" i="4"/>
  <c r="D19" i="3" s="1"/>
  <c r="G8" i="4"/>
  <c r="D10" i="3" s="1"/>
  <c r="G6" i="4"/>
  <c r="D8" i="3" s="1"/>
  <c r="G7" i="4"/>
  <c r="D9" i="3" s="1"/>
  <c r="G5" i="4"/>
  <c r="D7" i="3" s="1"/>
  <c r="G4" i="4"/>
  <c r="D6" i="3" s="1"/>
  <c r="M59" i="4"/>
  <c r="M62" i="4"/>
  <c r="M67" i="4"/>
  <c r="M95" i="4"/>
  <c r="M47" i="4"/>
  <c r="M71" i="4"/>
  <c r="M83" i="4"/>
  <c r="M48" i="4"/>
  <c r="M4" i="4"/>
  <c r="M36" i="4"/>
  <c r="M90" i="4"/>
  <c r="M26" i="4"/>
  <c r="M57" i="4"/>
  <c r="M80" i="4"/>
  <c r="M8" i="4"/>
  <c r="M20" i="4"/>
  <c r="M55" i="4"/>
  <c r="M70" i="4"/>
  <c r="M85" i="4"/>
  <c r="M21" i="4"/>
  <c r="M3" i="4"/>
  <c r="M12" i="4"/>
  <c r="M82" i="4"/>
  <c r="M18" i="4"/>
  <c r="M49" i="4"/>
  <c r="M72" i="4"/>
  <c r="M7" i="4"/>
  <c r="M91" i="4"/>
  <c r="M39" i="4"/>
  <c r="M54" i="4"/>
  <c r="M77" i="4"/>
  <c r="M13" i="4"/>
  <c r="M81" i="4"/>
  <c r="M45" i="4"/>
  <c r="M29" i="4"/>
  <c r="M2" i="4"/>
  <c r="M99" i="4"/>
  <c r="M74" i="4"/>
  <c r="M10" i="4"/>
  <c r="M41" i="4"/>
  <c r="M64" i="4"/>
  <c r="M6" i="4"/>
  <c r="M51" i="4"/>
  <c r="M31" i="4"/>
  <c r="M46" i="4"/>
  <c r="M69" i="4"/>
  <c r="M5" i="4"/>
  <c r="M27" i="4"/>
  <c r="M38" i="4"/>
  <c r="M76" i="4"/>
  <c r="M32" i="4"/>
  <c r="M94" i="4"/>
  <c r="M93" i="4"/>
  <c r="M9" i="4"/>
  <c r="M75" i="4"/>
  <c r="M66" i="4"/>
  <c r="M97" i="4"/>
  <c r="M33" i="4"/>
  <c r="M56" i="4"/>
  <c r="M92" i="4"/>
  <c r="M23" i="4"/>
  <c r="M61" i="4"/>
  <c r="M35" i="4"/>
  <c r="M17" i="4"/>
  <c r="M87" i="4"/>
  <c r="M28" i="4"/>
  <c r="M100" i="4"/>
  <c r="M43" i="4"/>
  <c r="M58" i="4"/>
  <c r="M89" i="4"/>
  <c r="M25" i="4"/>
  <c r="M40" i="4"/>
  <c r="M84" i="4"/>
  <c r="M11" i="4"/>
  <c r="M15" i="4"/>
  <c r="M30" i="4"/>
  <c r="M53" i="4"/>
  <c r="M50" i="4"/>
  <c r="M68" i="4"/>
  <c r="M22" i="4"/>
  <c r="M78" i="4"/>
  <c r="M60" i="4"/>
  <c r="M19" i="4"/>
  <c r="M42" i="4"/>
  <c r="M73" i="4"/>
  <c r="M96" i="4"/>
  <c r="M24" i="4"/>
  <c r="M52" i="4"/>
  <c r="M79" i="4"/>
  <c r="M86" i="4"/>
  <c r="M14" i="4"/>
  <c r="M37" i="4"/>
  <c r="M44" i="4"/>
  <c r="M98" i="4"/>
  <c r="M34" i="4"/>
  <c r="M65" i="4"/>
  <c r="M88" i="4"/>
  <c r="M16" i="4"/>
  <c r="M63" i="4"/>
  <c r="G2" i="4"/>
  <c r="D4" i="3" s="1"/>
  <c r="K5" i="3"/>
  <c r="L5" i="3"/>
  <c r="M5" i="3"/>
  <c r="G5" i="3"/>
  <c r="G4" i="3"/>
  <c r="K4" i="3"/>
  <c r="L4" i="3"/>
  <c r="M4" i="3"/>
  <c r="H6" i="1"/>
  <c r="I5" i="1"/>
  <c r="I4" i="1"/>
  <c r="H7" i="1" l="1"/>
  <c r="I6" i="1"/>
  <c r="I7" i="1" l="1"/>
  <c r="H8" i="1"/>
  <c r="I8" i="1" l="1"/>
  <c r="H9" i="1"/>
  <c r="H10" i="1" l="1"/>
  <c r="I9" i="1"/>
  <c r="H11" i="1" l="1"/>
  <c r="I10" i="1"/>
  <c r="H12" i="1" l="1"/>
  <c r="I11" i="1"/>
  <c r="H13" i="1" l="1"/>
  <c r="I12" i="1"/>
  <c r="I13" i="1" l="1"/>
  <c r="H14" i="1"/>
  <c r="H15" i="1" l="1"/>
  <c r="I14" i="1"/>
  <c r="H16" i="1" l="1"/>
  <c r="I15" i="1"/>
  <c r="H17" i="1" l="1"/>
  <c r="I16" i="1"/>
  <c r="H18" i="1" l="1"/>
  <c r="I17" i="1"/>
  <c r="H19" i="1" l="1"/>
  <c r="I18" i="1"/>
  <c r="H20" i="1" l="1"/>
  <c r="I19" i="1"/>
  <c r="H21" i="1" l="1"/>
  <c r="I20" i="1"/>
  <c r="H22" i="1" l="1"/>
  <c r="I21" i="1"/>
  <c r="I22" i="1" l="1"/>
  <c r="H23" i="1"/>
  <c r="H24" i="1" l="1"/>
  <c r="I23" i="1"/>
  <c r="H25" i="1" l="1"/>
  <c r="I24" i="1"/>
  <c r="I25" i="1" l="1"/>
  <c r="H26" i="1"/>
  <c r="H27" i="1" l="1"/>
  <c r="I26" i="1"/>
  <c r="H28" i="1" l="1"/>
  <c r="I27" i="1"/>
  <c r="I28" i="1" l="1"/>
  <c r="H29" i="1"/>
  <c r="H30" i="1" s="1"/>
  <c r="H31" i="1" l="1"/>
  <c r="I30" i="1"/>
  <c r="I31" i="1" l="1"/>
  <c r="H32" i="1"/>
  <c r="H33" i="1" l="1"/>
  <c r="I32" i="1"/>
  <c r="H34" i="1" l="1"/>
  <c r="I33" i="1"/>
  <c r="I34" i="1" l="1"/>
  <c r="H35" i="1"/>
  <c r="H36" i="1" l="1"/>
  <c r="I35" i="1"/>
  <c r="H37" i="1" l="1"/>
  <c r="I36" i="1"/>
  <c r="I37" i="1" l="1"/>
  <c r="H38" i="1"/>
  <c r="H39" i="1" l="1"/>
  <c r="I38" i="1"/>
  <c r="H40" i="1" l="1"/>
  <c r="I39" i="1"/>
  <c r="I40" i="1" l="1"/>
  <c r="H41" i="1"/>
  <c r="H42" i="1" l="1"/>
  <c r="I41" i="1"/>
  <c r="H43" i="1" l="1"/>
  <c r="I42" i="1"/>
  <c r="I43" i="1" l="1"/>
  <c r="H44" i="1"/>
  <c r="H45" i="1" l="1"/>
  <c r="I44" i="1"/>
  <c r="H46" i="1" l="1"/>
  <c r="I45" i="1"/>
  <c r="I46" i="1" l="1"/>
  <c r="H47" i="1"/>
  <c r="H48" i="1" l="1"/>
  <c r="I47" i="1"/>
  <c r="H49" i="1" l="1"/>
  <c r="I48" i="1"/>
  <c r="I49" i="1" l="1"/>
  <c r="H50" i="1"/>
  <c r="H51" i="1" l="1"/>
  <c r="I50" i="1"/>
  <c r="H52" i="1" l="1"/>
  <c r="I51" i="1"/>
  <c r="I52" i="1" l="1"/>
  <c r="H53" i="1"/>
  <c r="H54" i="1" l="1"/>
  <c r="I53" i="1"/>
  <c r="H55" i="1" l="1"/>
  <c r="I54" i="1"/>
  <c r="I55" i="1" l="1"/>
  <c r="H56" i="1"/>
  <c r="H57" i="1" l="1"/>
  <c r="I56" i="1"/>
  <c r="H58" i="1" l="1"/>
  <c r="I57" i="1"/>
  <c r="H59" i="1" l="1"/>
  <c r="I58" i="1"/>
  <c r="I59" i="1" l="1"/>
  <c r="H60" i="1"/>
  <c r="H61" i="1" l="1"/>
  <c r="I60" i="1"/>
  <c r="H62" i="1" l="1"/>
  <c r="I61" i="1"/>
  <c r="H63" i="1" l="1"/>
  <c r="I62" i="1"/>
  <c r="H64" i="1" l="1"/>
  <c r="I63" i="1"/>
  <c r="H65" i="1" l="1"/>
  <c r="I64" i="1"/>
  <c r="H66" i="1" l="1"/>
  <c r="I65" i="1"/>
  <c r="H67" i="1" l="1"/>
  <c r="I66" i="1"/>
  <c r="H68" i="1" l="1"/>
  <c r="I67" i="1"/>
  <c r="H69" i="1" l="1"/>
  <c r="I68" i="1"/>
  <c r="H70" i="1" l="1"/>
  <c r="I69" i="1"/>
  <c r="H71" i="1" l="1"/>
  <c r="I70" i="1"/>
  <c r="I71" i="1" l="1"/>
  <c r="H72" i="1"/>
  <c r="H73" i="1" l="1"/>
  <c r="I72" i="1"/>
  <c r="H74" i="1" l="1"/>
  <c r="I73" i="1"/>
  <c r="H75" i="1" l="1"/>
  <c r="I74" i="1"/>
  <c r="I75" i="1" l="1"/>
  <c r="H76" i="1"/>
  <c r="H77" i="1" l="1"/>
  <c r="I76" i="1"/>
  <c r="H78" i="1" l="1"/>
  <c r="I77" i="1"/>
  <c r="H79" i="1" l="1"/>
  <c r="I78" i="1"/>
  <c r="I79" i="1" l="1"/>
  <c r="H80" i="1"/>
  <c r="H81" i="1" l="1"/>
  <c r="I80" i="1"/>
  <c r="H82" i="1" l="1"/>
  <c r="I81" i="1"/>
  <c r="H83" i="1" l="1"/>
  <c r="I82" i="1"/>
  <c r="I83" i="1" l="1"/>
  <c r="H84" i="1"/>
  <c r="H85" i="1" l="1"/>
  <c r="I84" i="1"/>
  <c r="H86" i="1" l="1"/>
  <c r="I85" i="1"/>
  <c r="H87" i="1" l="1"/>
  <c r="I86" i="1"/>
  <c r="H88" i="1" l="1"/>
  <c r="I87" i="1"/>
  <c r="H89" i="1" l="1"/>
  <c r="I88" i="1"/>
  <c r="H90" i="1" l="1"/>
  <c r="I89" i="1"/>
  <c r="H91" i="1" l="1"/>
  <c r="I90" i="1"/>
  <c r="I91" i="1" l="1"/>
  <c r="H92" i="1"/>
  <c r="H93" i="1" l="1"/>
  <c r="I92" i="1"/>
  <c r="H94" i="1" l="1"/>
  <c r="I93" i="1"/>
  <c r="H95" i="1" l="1"/>
  <c r="I94" i="1"/>
  <c r="H96" i="1" l="1"/>
  <c r="I95" i="1"/>
  <c r="H97" i="1" l="1"/>
  <c r="I96" i="1"/>
  <c r="H98" i="1" l="1"/>
  <c r="I97" i="1"/>
  <c r="H99" i="1" l="1"/>
  <c r="I98" i="1"/>
  <c r="I99" i="1" l="1"/>
  <c r="H100" i="1"/>
  <c r="H101" i="1" l="1"/>
  <c r="I100" i="1"/>
  <c r="H102" i="1" l="1"/>
  <c r="I101" i="1"/>
  <c r="H103" i="1" l="1"/>
  <c r="I102" i="1"/>
  <c r="I103" i="1" l="1"/>
  <c r="H104" i="1"/>
  <c r="H105" i="1" l="1"/>
  <c r="I104" i="1"/>
  <c r="H106" i="1" l="1"/>
  <c r="I105" i="1"/>
  <c r="H107" i="1" l="1"/>
  <c r="I106" i="1"/>
  <c r="H108" i="1" l="1"/>
  <c r="I107" i="1"/>
  <c r="H109" i="1" l="1"/>
  <c r="I108" i="1"/>
  <c r="H110" i="1" l="1"/>
  <c r="I109" i="1"/>
  <c r="H111" i="1" l="1"/>
  <c r="I110" i="1"/>
  <c r="I111" i="1" l="1"/>
  <c r="H112" i="1"/>
  <c r="H113" i="1" l="1"/>
  <c r="I112" i="1"/>
  <c r="H114" i="1" l="1"/>
  <c r="I113" i="1"/>
  <c r="H115" i="1" l="1"/>
  <c r="I114" i="1"/>
  <c r="I115" i="1" l="1"/>
  <c r="H116" i="1"/>
  <c r="H117" i="1" l="1"/>
  <c r="I116" i="1"/>
  <c r="H118" i="1" l="1"/>
  <c r="I117" i="1"/>
  <c r="H119" i="1" l="1"/>
  <c r="I118" i="1"/>
  <c r="H120" i="1" l="1"/>
  <c r="I119" i="1"/>
  <c r="H121" i="1" l="1"/>
  <c r="I120" i="1"/>
  <c r="H122" i="1" l="1"/>
  <c r="I121" i="1"/>
  <c r="H123" i="1" l="1"/>
  <c r="I122" i="1"/>
  <c r="H124" i="1" l="1"/>
  <c r="I123" i="1"/>
  <c r="H125" i="1" l="1"/>
  <c r="I124" i="1"/>
  <c r="H126" i="1" l="1"/>
  <c r="I125" i="1"/>
  <c r="H127" i="1" l="1"/>
  <c r="I126" i="1"/>
  <c r="H128" i="1" l="1"/>
  <c r="I127" i="1"/>
  <c r="H129" i="1" l="1"/>
  <c r="I128" i="1"/>
  <c r="H130" i="1" l="1"/>
  <c r="I129" i="1"/>
  <c r="H131" i="1" l="1"/>
  <c r="I130" i="1"/>
  <c r="H132" i="1" l="1"/>
  <c r="I131" i="1"/>
  <c r="H133" i="1" l="1"/>
  <c r="I132" i="1"/>
  <c r="H134" i="1" l="1"/>
  <c r="I133" i="1"/>
  <c r="H135" i="1" l="1"/>
  <c r="I134" i="1"/>
  <c r="H136" i="1" l="1"/>
  <c r="I135" i="1"/>
  <c r="H137" i="1" l="1"/>
  <c r="I136" i="1"/>
  <c r="H138" i="1" l="1"/>
  <c r="I137" i="1"/>
  <c r="H139" i="1" l="1"/>
  <c r="I138" i="1"/>
  <c r="H140" i="1" l="1"/>
  <c r="I139" i="1"/>
  <c r="H141" i="1" l="1"/>
  <c r="I140" i="1"/>
  <c r="H142" i="1" l="1"/>
  <c r="I142" i="1" s="1"/>
  <c r="I1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Javier Fernando Duran Duran</author>
  </authors>
  <commentList>
    <comment ref="A3" authorId="0" shapeId="0" xr:uid="{969C38AC-8F32-47D6-BBAB-34F0AEE0217C}">
      <text>
        <r>
          <rPr>
            <b/>
            <sz val="9"/>
            <color indexed="81"/>
            <rFont val="Tahoma"/>
            <family val="2"/>
          </rPr>
          <t>Javier Fernando Duran Duran:</t>
        </r>
        <r>
          <rPr>
            <sz val="9"/>
            <color indexed="81"/>
            <rFont val="Tahoma"/>
            <family val="2"/>
          </rPr>
          <t xml:space="preserve">
(Bloque:Nave:Lado:Cama), ejemplo "01:01:A:001"</t>
        </r>
      </text>
    </comment>
    <comment ref="E3" authorId="0" shapeId="0" xr:uid="{15821BA2-9303-446B-A632-EB914267C635}">
      <text>
        <r>
          <rPr>
            <b/>
            <sz val="9"/>
            <color indexed="81"/>
            <rFont val="Tahoma"/>
            <family val="2"/>
          </rPr>
          <t>Javier Fernando Duran Duran:</t>
        </r>
        <r>
          <rPr>
            <sz val="9"/>
            <color indexed="81"/>
            <rFont val="Tahoma"/>
            <family val="2"/>
          </rPr>
          <t xml:space="preserve">
"dd/MM/yyyy"</t>
        </r>
      </text>
    </comment>
    <comment ref="F3" authorId="0" shapeId="0" xr:uid="{7A91CF91-5426-44B4-AB8D-94CD73301B5F}">
      <text>
        <r>
          <rPr>
            <b/>
            <sz val="9"/>
            <color indexed="81"/>
            <rFont val="Tahoma"/>
            <family val="2"/>
          </rPr>
          <t>Javier Fernando Duran Duran:</t>
        </r>
        <r>
          <rPr>
            <sz val="9"/>
            <color indexed="81"/>
            <rFont val="Tahoma"/>
            <family val="2"/>
          </rPr>
          <t xml:space="preserve">
Parcial:1
normal:0</t>
        </r>
      </text>
    </comment>
  </commentList>
</comments>
</file>

<file path=xl/sharedStrings.xml><?xml version="1.0" encoding="utf-8"?>
<sst xmlns="http://schemas.openxmlformats.org/spreadsheetml/2006/main" count="7446" uniqueCount="751">
  <si>
    <t>Flor</t>
  </si>
  <si>
    <t>Color</t>
  </si>
  <si>
    <t>Variedad</t>
  </si>
  <si>
    <t>Dias</t>
  </si>
  <si>
    <t>Semanas</t>
  </si>
  <si>
    <t>Dias_Sem</t>
  </si>
  <si>
    <t>Semana</t>
  </si>
  <si>
    <t>Bloque</t>
  </si>
  <si>
    <t>Lado</t>
  </si>
  <si>
    <t>Cama</t>
  </si>
  <si>
    <t>Propiedades</t>
  </si>
  <si>
    <t>Daisy</t>
  </si>
  <si>
    <t>White</t>
  </si>
  <si>
    <t>10210°</t>
  </si>
  <si>
    <t>01</t>
  </si>
  <si>
    <t>A</t>
  </si>
  <si>
    <t>001</t>
  </si>
  <si>
    <t>Produccion</t>
  </si>
  <si>
    <t>Cushion</t>
  </si>
  <si>
    <t>11443°</t>
  </si>
  <si>
    <t>02</t>
  </si>
  <si>
    <t>B</t>
  </si>
  <si>
    <t>002</t>
  </si>
  <si>
    <t>Vegetativo</t>
  </si>
  <si>
    <t>Peach</t>
  </si>
  <si>
    <t>11475°</t>
  </si>
  <si>
    <t>03</t>
  </si>
  <si>
    <t>003</t>
  </si>
  <si>
    <t>Suelo</t>
  </si>
  <si>
    <t>11866°</t>
  </si>
  <si>
    <t>04</t>
  </si>
  <si>
    <t>004</t>
  </si>
  <si>
    <t>Bronze</t>
  </si>
  <si>
    <t>11878°</t>
  </si>
  <si>
    <t>05</t>
  </si>
  <si>
    <t>005</t>
  </si>
  <si>
    <t>Novelty</t>
  </si>
  <si>
    <t>Lavender</t>
  </si>
  <si>
    <t>12038</t>
  </si>
  <si>
    <t>06</t>
  </si>
  <si>
    <t>006</t>
  </si>
  <si>
    <t>12045°</t>
  </si>
  <si>
    <t>07</t>
  </si>
  <si>
    <t>007</t>
  </si>
  <si>
    <t>Yellow</t>
  </si>
  <si>
    <t>14-00-1215 Malasyan°</t>
  </si>
  <si>
    <t>08</t>
  </si>
  <si>
    <t>INV</t>
  </si>
  <si>
    <t>008</t>
  </si>
  <si>
    <t>Green</t>
  </si>
  <si>
    <t>224°</t>
  </si>
  <si>
    <t>09</t>
  </si>
  <si>
    <t>009</t>
  </si>
  <si>
    <t>2532°</t>
  </si>
  <si>
    <t>10</t>
  </si>
  <si>
    <t>010</t>
  </si>
  <si>
    <t>2879°</t>
  </si>
  <si>
    <t>11</t>
  </si>
  <si>
    <t>011</t>
  </si>
  <si>
    <t>Red</t>
  </si>
  <si>
    <t>2939°</t>
  </si>
  <si>
    <t>12</t>
  </si>
  <si>
    <t>012</t>
  </si>
  <si>
    <t>5150°</t>
  </si>
  <si>
    <t>13</t>
  </si>
  <si>
    <t>013</t>
  </si>
  <si>
    <t>5174</t>
  </si>
  <si>
    <t>14</t>
  </si>
  <si>
    <t>014</t>
  </si>
  <si>
    <t>Pink</t>
  </si>
  <si>
    <t>5178°</t>
  </si>
  <si>
    <t>15</t>
  </si>
  <si>
    <t>015</t>
  </si>
  <si>
    <t>5231°</t>
  </si>
  <si>
    <t>16</t>
  </si>
  <si>
    <t>016</t>
  </si>
  <si>
    <t>5251°</t>
  </si>
  <si>
    <t>17</t>
  </si>
  <si>
    <t>017</t>
  </si>
  <si>
    <t>5629°</t>
  </si>
  <si>
    <t>18</t>
  </si>
  <si>
    <t>018</t>
  </si>
  <si>
    <t>5699°</t>
  </si>
  <si>
    <t>19</t>
  </si>
  <si>
    <t>019</t>
  </si>
  <si>
    <t>5700°</t>
  </si>
  <si>
    <t>20</t>
  </si>
  <si>
    <t>020</t>
  </si>
  <si>
    <t>5738°</t>
  </si>
  <si>
    <t>21</t>
  </si>
  <si>
    <t>021</t>
  </si>
  <si>
    <t>Bicolor Bronze</t>
  </si>
  <si>
    <t>5808°</t>
  </si>
  <si>
    <t>22</t>
  </si>
  <si>
    <t>022</t>
  </si>
  <si>
    <t>6035°</t>
  </si>
  <si>
    <t>23</t>
  </si>
  <si>
    <t>023</t>
  </si>
  <si>
    <t>6053°</t>
  </si>
  <si>
    <t>24</t>
  </si>
  <si>
    <t>024</t>
  </si>
  <si>
    <t>6065°</t>
  </si>
  <si>
    <t>25</t>
  </si>
  <si>
    <t>025</t>
  </si>
  <si>
    <t>6147°</t>
  </si>
  <si>
    <t>26</t>
  </si>
  <si>
    <t>026</t>
  </si>
  <si>
    <t>6363°</t>
  </si>
  <si>
    <t>27</t>
  </si>
  <si>
    <t>027</t>
  </si>
  <si>
    <t>6588°</t>
  </si>
  <si>
    <t>28</t>
  </si>
  <si>
    <t>028</t>
  </si>
  <si>
    <t>6770°</t>
  </si>
  <si>
    <t>29</t>
  </si>
  <si>
    <t>029</t>
  </si>
  <si>
    <t>69104°</t>
  </si>
  <si>
    <t>30</t>
  </si>
  <si>
    <t>030</t>
  </si>
  <si>
    <t>Purple</t>
  </si>
  <si>
    <t>7086°</t>
  </si>
  <si>
    <t>031</t>
  </si>
  <si>
    <t>72850°</t>
  </si>
  <si>
    <t>Fall</t>
  </si>
  <si>
    <t>032</t>
  </si>
  <si>
    <t>72919°</t>
  </si>
  <si>
    <t>033</t>
  </si>
  <si>
    <t>73680°</t>
  </si>
  <si>
    <t>034</t>
  </si>
  <si>
    <t>73758°</t>
  </si>
  <si>
    <t>035</t>
  </si>
  <si>
    <t>76523°</t>
  </si>
  <si>
    <t>036</t>
  </si>
  <si>
    <t>76589°</t>
  </si>
  <si>
    <t>037</t>
  </si>
  <si>
    <t>Cream</t>
  </si>
  <si>
    <t>77225</t>
  </si>
  <si>
    <t>038</t>
  </si>
  <si>
    <t>77388</t>
  </si>
  <si>
    <t>039</t>
  </si>
  <si>
    <t>8127°</t>
  </si>
  <si>
    <t>040</t>
  </si>
  <si>
    <t>9090°</t>
  </si>
  <si>
    <t>041</t>
  </si>
  <si>
    <t>926°</t>
  </si>
  <si>
    <t>042</t>
  </si>
  <si>
    <t>9625</t>
  </si>
  <si>
    <t>043</t>
  </si>
  <si>
    <t>Abaco°</t>
  </si>
  <si>
    <t>044</t>
  </si>
  <si>
    <t>Abbey</t>
  </si>
  <si>
    <t>045</t>
  </si>
  <si>
    <t>Abby°</t>
  </si>
  <si>
    <t>046</t>
  </si>
  <si>
    <t>Aipom</t>
  </si>
  <si>
    <t>047</t>
  </si>
  <si>
    <t>Novelty Lavender</t>
  </si>
  <si>
    <t>Airbrush</t>
  </si>
  <si>
    <t>048</t>
  </si>
  <si>
    <t>Novelty Yellow</t>
  </si>
  <si>
    <t>Airbrush Custard</t>
  </si>
  <si>
    <t>049</t>
  </si>
  <si>
    <t>Aldia</t>
  </si>
  <si>
    <t>050</t>
  </si>
  <si>
    <t>Alemani</t>
  </si>
  <si>
    <t>051</t>
  </si>
  <si>
    <t>Alero°</t>
  </si>
  <si>
    <t>052</t>
  </si>
  <si>
    <t>Alligator</t>
  </si>
  <si>
    <t>053</t>
  </si>
  <si>
    <t>Allstar</t>
  </si>
  <si>
    <t>054</t>
  </si>
  <si>
    <t>Alma</t>
  </si>
  <si>
    <t>055</t>
  </si>
  <si>
    <t>Amadea</t>
  </si>
  <si>
    <t>056</t>
  </si>
  <si>
    <t>Amaris</t>
  </si>
  <si>
    <t>057</t>
  </si>
  <si>
    <t>Amaze</t>
  </si>
  <si>
    <t>058</t>
  </si>
  <si>
    <t>Novelty Purple</t>
  </si>
  <si>
    <t>Amethyst Dark</t>
  </si>
  <si>
    <t>059</t>
  </si>
  <si>
    <t>Amethyst Yellow</t>
  </si>
  <si>
    <t>060</t>
  </si>
  <si>
    <t>Amor Candy</t>
  </si>
  <si>
    <t>061</t>
  </si>
  <si>
    <t>Amor Crimson</t>
  </si>
  <si>
    <t>062</t>
  </si>
  <si>
    <t>Amor Fancy</t>
  </si>
  <si>
    <t>063</t>
  </si>
  <si>
    <t>Andina°</t>
  </si>
  <si>
    <t>064</t>
  </si>
  <si>
    <t>Andrea</t>
  </si>
  <si>
    <t>065</t>
  </si>
  <si>
    <t>Android</t>
  </si>
  <si>
    <t>066</t>
  </si>
  <si>
    <t>Aneto</t>
  </si>
  <si>
    <t>067</t>
  </si>
  <si>
    <t>Annecy Lavender</t>
  </si>
  <si>
    <t>068</t>
  </si>
  <si>
    <t>Antonia</t>
  </si>
  <si>
    <t>069</t>
  </si>
  <si>
    <t>Aquarel Pink</t>
  </si>
  <si>
    <t>070</t>
  </si>
  <si>
    <t>Aquarel White°</t>
  </si>
  <si>
    <t>071</t>
  </si>
  <si>
    <t>Aragon</t>
  </si>
  <si>
    <t>072</t>
  </si>
  <si>
    <t>Arctic Queen</t>
  </si>
  <si>
    <t>073</t>
  </si>
  <si>
    <t>Arlette</t>
  </si>
  <si>
    <t>074</t>
  </si>
  <si>
    <t>Artist Pink</t>
  </si>
  <si>
    <t>075</t>
  </si>
  <si>
    <t>Artist Yellow</t>
  </si>
  <si>
    <t>076</t>
  </si>
  <si>
    <t>Athos</t>
  </si>
  <si>
    <t>077</t>
  </si>
  <si>
    <t>Atlantis</t>
  </si>
  <si>
    <t>078</t>
  </si>
  <si>
    <t>Atlantis Dark Pink</t>
  </si>
  <si>
    <t>079</t>
  </si>
  <si>
    <t>Atlantis Orange</t>
  </si>
  <si>
    <t>080</t>
  </si>
  <si>
    <t>Atlantis Pink°</t>
  </si>
  <si>
    <t>081</t>
  </si>
  <si>
    <t>Dark Bronze</t>
  </si>
  <si>
    <t>Atlantis Red</t>
  </si>
  <si>
    <t>082</t>
  </si>
  <si>
    <t>Atlantis Yellow</t>
  </si>
  <si>
    <t>083</t>
  </si>
  <si>
    <t>Aura°</t>
  </si>
  <si>
    <t>084</t>
  </si>
  <si>
    <t>Avicci</t>
  </si>
  <si>
    <t>085</t>
  </si>
  <si>
    <t>Light Bronze</t>
  </si>
  <si>
    <t>Avila</t>
  </si>
  <si>
    <t>086</t>
  </si>
  <si>
    <t>Bacano</t>
  </si>
  <si>
    <t>087</t>
  </si>
  <si>
    <t>Balsas</t>
  </si>
  <si>
    <t>088</t>
  </si>
  <si>
    <t>Baltica Pink°</t>
  </si>
  <si>
    <t>089</t>
  </si>
  <si>
    <t>Baltica Sunny°</t>
  </si>
  <si>
    <t>090</t>
  </si>
  <si>
    <t>Baltica Yellow°</t>
  </si>
  <si>
    <t>091</t>
  </si>
  <si>
    <t>Baltica°</t>
  </si>
  <si>
    <t>092</t>
  </si>
  <si>
    <t>Barto</t>
  </si>
  <si>
    <t>093</t>
  </si>
  <si>
    <t>Batman°</t>
  </si>
  <si>
    <t>094</t>
  </si>
  <si>
    <t>Beloved°</t>
  </si>
  <si>
    <t>095</t>
  </si>
  <si>
    <t>Bernal</t>
  </si>
  <si>
    <t>096</t>
  </si>
  <si>
    <t>Biaggi°</t>
  </si>
  <si>
    <t>097</t>
  </si>
  <si>
    <t>Blanca Nieves</t>
  </si>
  <si>
    <t>098</t>
  </si>
  <si>
    <t>Bonita</t>
  </si>
  <si>
    <t>099</t>
  </si>
  <si>
    <t>Bonita*</t>
  </si>
  <si>
    <t>100</t>
  </si>
  <si>
    <t>Bonsai</t>
  </si>
  <si>
    <t>101</t>
  </si>
  <si>
    <t>Botani</t>
  </si>
  <si>
    <t>102</t>
  </si>
  <si>
    <t>Bradford</t>
  </si>
  <si>
    <t>103</t>
  </si>
  <si>
    <t>Bradford Orange</t>
  </si>
  <si>
    <t>104</t>
  </si>
  <si>
    <t>Brahma</t>
  </si>
  <si>
    <t>105</t>
  </si>
  <si>
    <t>Brassa</t>
  </si>
  <si>
    <t>106</t>
  </si>
  <si>
    <t>Brazilian</t>
  </si>
  <si>
    <t>107</t>
  </si>
  <si>
    <t>Brazuca</t>
  </si>
  <si>
    <t>108</t>
  </si>
  <si>
    <t>Brisa</t>
  </si>
  <si>
    <t>109</t>
  </si>
  <si>
    <t>C-376</t>
  </si>
  <si>
    <t>110</t>
  </si>
  <si>
    <t>Cabaret</t>
  </si>
  <si>
    <t>111</t>
  </si>
  <si>
    <t>Calabria</t>
  </si>
  <si>
    <t>112</t>
  </si>
  <si>
    <t>Can Can</t>
  </si>
  <si>
    <t>113</t>
  </si>
  <si>
    <t>Candela</t>
  </si>
  <si>
    <t>114</t>
  </si>
  <si>
    <t>Candid</t>
  </si>
  <si>
    <t>115</t>
  </si>
  <si>
    <t>Candy Crush Purple°</t>
  </si>
  <si>
    <t>116</t>
  </si>
  <si>
    <t>DarkPink</t>
  </si>
  <si>
    <t>Caño Cristales</t>
  </si>
  <si>
    <t>117</t>
  </si>
  <si>
    <t>Caprice</t>
  </si>
  <si>
    <t>118</t>
  </si>
  <si>
    <t>Caribbean Sunset</t>
  </si>
  <si>
    <t>119</t>
  </si>
  <si>
    <t>Carina</t>
  </si>
  <si>
    <t>120</t>
  </si>
  <si>
    <t>Carrot</t>
  </si>
  <si>
    <t>121</t>
  </si>
  <si>
    <t>Catania°</t>
  </si>
  <si>
    <t>122</t>
  </si>
  <si>
    <t>Celebrate</t>
  </si>
  <si>
    <t>123</t>
  </si>
  <si>
    <t>Centella</t>
  </si>
  <si>
    <t>124</t>
  </si>
  <si>
    <t>CH-12-3837°</t>
  </si>
  <si>
    <t>125</t>
  </si>
  <si>
    <t>CH-13-96-09°</t>
  </si>
  <si>
    <t>126</t>
  </si>
  <si>
    <t>CH-15-5763°</t>
  </si>
  <si>
    <t>127</t>
  </si>
  <si>
    <t>CH219288°</t>
  </si>
  <si>
    <t>128</t>
  </si>
  <si>
    <t>Champagne Ivory</t>
  </si>
  <si>
    <t>129</t>
  </si>
  <si>
    <t>Champagne Yellow</t>
  </si>
  <si>
    <t>130</t>
  </si>
  <si>
    <t>Charmy°</t>
  </si>
  <si>
    <t>131</t>
  </si>
  <si>
    <t>Chianti</t>
  </si>
  <si>
    <t>132</t>
  </si>
  <si>
    <t>Chikorita</t>
  </si>
  <si>
    <t>133</t>
  </si>
  <si>
    <t>CH-Z-300°</t>
  </si>
  <si>
    <t>134</t>
  </si>
  <si>
    <t>Ciara°</t>
  </si>
  <si>
    <t>135</t>
  </si>
  <si>
    <t>Claire</t>
  </si>
  <si>
    <t>136</t>
  </si>
  <si>
    <t>Clarity</t>
  </si>
  <si>
    <t>137</t>
  </si>
  <si>
    <t>Cocarde</t>
  </si>
  <si>
    <t>138</t>
  </si>
  <si>
    <t>Coconut</t>
  </si>
  <si>
    <t>139</t>
  </si>
  <si>
    <t>Colby White</t>
  </si>
  <si>
    <t>140</t>
  </si>
  <si>
    <t>Orange</t>
  </si>
  <si>
    <t>Colorado Springs</t>
  </si>
  <si>
    <t>141</t>
  </si>
  <si>
    <t>Copper</t>
  </si>
  <si>
    <t>142</t>
  </si>
  <si>
    <t>Cosmic</t>
  </si>
  <si>
    <t>143</t>
  </si>
  <si>
    <t>Country</t>
  </si>
  <si>
    <t>144</t>
  </si>
  <si>
    <t>Creme Brulee</t>
  </si>
  <si>
    <t>145</t>
  </si>
  <si>
    <t>Cresta Purple</t>
  </si>
  <si>
    <t>146</t>
  </si>
  <si>
    <t>Cruise</t>
  </si>
  <si>
    <t>147</t>
  </si>
  <si>
    <t>CSP039°</t>
  </si>
  <si>
    <t>148</t>
  </si>
  <si>
    <t>CSP043°</t>
  </si>
  <si>
    <t>149</t>
  </si>
  <si>
    <t>CSP053°</t>
  </si>
  <si>
    <t>150</t>
  </si>
  <si>
    <t>CSP078°</t>
  </si>
  <si>
    <t>151</t>
  </si>
  <si>
    <t>CSP080°</t>
  </si>
  <si>
    <t>152</t>
  </si>
  <si>
    <t>CSP083°</t>
  </si>
  <si>
    <t>153</t>
  </si>
  <si>
    <t>CSP117°</t>
  </si>
  <si>
    <t>154</t>
  </si>
  <si>
    <t>Curious</t>
  </si>
  <si>
    <t>155</t>
  </si>
  <si>
    <t>Curuba</t>
  </si>
  <si>
    <t>156</t>
  </si>
  <si>
    <t>Cutie Pie</t>
  </si>
  <si>
    <t>157</t>
  </si>
  <si>
    <t>Dallas°</t>
  </si>
  <si>
    <t>158</t>
  </si>
  <si>
    <t>Dante</t>
  </si>
  <si>
    <t>159</t>
  </si>
  <si>
    <t>Dante Purple</t>
  </si>
  <si>
    <t>160</t>
  </si>
  <si>
    <t>Dark Copper</t>
  </si>
  <si>
    <t>161</t>
  </si>
  <si>
    <t>Dark Orange Terrifik</t>
  </si>
  <si>
    <t>162</t>
  </si>
  <si>
    <t>Dark Splendid Reagan</t>
  </si>
  <si>
    <t>163</t>
  </si>
  <si>
    <t>Daymark</t>
  </si>
  <si>
    <t>164</t>
  </si>
  <si>
    <t>DB-65726°</t>
  </si>
  <si>
    <t>165</t>
  </si>
  <si>
    <t>Deligreen°</t>
  </si>
  <si>
    <t>166</t>
  </si>
  <si>
    <t>Delirock</t>
  </si>
  <si>
    <t>167</t>
  </si>
  <si>
    <t>Delirock Pink</t>
  </si>
  <si>
    <t>168</t>
  </si>
  <si>
    <t>Delistar White</t>
  </si>
  <si>
    <t>169</t>
  </si>
  <si>
    <t>Delistar Yellow</t>
  </si>
  <si>
    <t>170</t>
  </si>
  <si>
    <t>Denzel</t>
  </si>
  <si>
    <t>171</t>
  </si>
  <si>
    <t>Desna Dark</t>
  </si>
  <si>
    <t>172</t>
  </si>
  <si>
    <t>Divano°</t>
  </si>
  <si>
    <t>173</t>
  </si>
  <si>
    <t>Doodle</t>
  </si>
  <si>
    <t>174</t>
  </si>
  <si>
    <t>Dorito</t>
  </si>
  <si>
    <t>175</t>
  </si>
  <si>
    <t>Dotan</t>
  </si>
  <si>
    <t>176</t>
  </si>
  <si>
    <t>Dragona°</t>
  </si>
  <si>
    <t>177</t>
  </si>
  <si>
    <t>Dupont Purple°</t>
  </si>
  <si>
    <t>178</t>
  </si>
  <si>
    <t>Dutch Master</t>
  </si>
  <si>
    <t>179</t>
  </si>
  <si>
    <t>Duval°</t>
  </si>
  <si>
    <t>180</t>
  </si>
  <si>
    <t>Eagle</t>
  </si>
  <si>
    <t>181</t>
  </si>
  <si>
    <t>Elara</t>
  </si>
  <si>
    <t>182</t>
  </si>
  <si>
    <t>Esponja</t>
  </si>
  <si>
    <t>183</t>
  </si>
  <si>
    <t>Estrella</t>
  </si>
  <si>
    <t>184</t>
  </si>
  <si>
    <t>Everglades</t>
  </si>
  <si>
    <t>185</t>
  </si>
  <si>
    <t>Exp.Valentina 72580°</t>
  </si>
  <si>
    <t>186</t>
  </si>
  <si>
    <t>Fabby°</t>
  </si>
  <si>
    <t>187</t>
  </si>
  <si>
    <t>Factor</t>
  </si>
  <si>
    <t>188</t>
  </si>
  <si>
    <t>Falcao°</t>
  </si>
  <si>
    <t>189</t>
  </si>
  <si>
    <t>190</t>
  </si>
  <si>
    <t>Falma</t>
  </si>
  <si>
    <t>191</t>
  </si>
  <si>
    <t>Felina</t>
  </si>
  <si>
    <t>192</t>
  </si>
  <si>
    <t>Fiction</t>
  </si>
  <si>
    <t>193</t>
  </si>
  <si>
    <t>Fidelio</t>
  </si>
  <si>
    <t>194</t>
  </si>
  <si>
    <t>Fiebre°</t>
  </si>
  <si>
    <t>195</t>
  </si>
  <si>
    <t>Firefly°</t>
  </si>
  <si>
    <t>196</t>
  </si>
  <si>
    <t>FL-1011°</t>
  </si>
  <si>
    <t>197</t>
  </si>
  <si>
    <t>FL-757°</t>
  </si>
  <si>
    <t>198</t>
  </si>
  <si>
    <t>Flair</t>
  </si>
  <si>
    <t>199</t>
  </si>
  <si>
    <t>Flick</t>
  </si>
  <si>
    <t>200</t>
  </si>
  <si>
    <t>Florange Dark</t>
  </si>
  <si>
    <t>Fogata</t>
  </si>
  <si>
    <t>Force</t>
  </si>
  <si>
    <t>Foxy</t>
  </si>
  <si>
    <t>Funstripe</t>
  </si>
  <si>
    <t>Furrati°</t>
  </si>
  <si>
    <t>Galactica</t>
  </si>
  <si>
    <t>Gallant</t>
  </si>
  <si>
    <t>Georgia°</t>
  </si>
  <si>
    <t>Ginge°</t>
  </si>
  <si>
    <t>Gioia</t>
  </si>
  <si>
    <t>Glamour</t>
  </si>
  <si>
    <t>Golden Polaris</t>
  </si>
  <si>
    <t>Grand Prestige</t>
  </si>
  <si>
    <t>Green Dream</t>
  </si>
  <si>
    <t>Gustav</t>
  </si>
  <si>
    <t>Han Solo</t>
  </si>
  <si>
    <t>Handsome</t>
  </si>
  <si>
    <t>Hertz</t>
  </si>
  <si>
    <t>Hipster</t>
  </si>
  <si>
    <t>Homerun</t>
  </si>
  <si>
    <t>Hotrod</t>
  </si>
  <si>
    <t>How Sweet</t>
  </si>
  <si>
    <t>Idris</t>
  </si>
  <si>
    <t>Impulse</t>
  </si>
  <si>
    <t>Indira</t>
  </si>
  <si>
    <t>Isabel</t>
  </si>
  <si>
    <t>Ivanovo</t>
  </si>
  <si>
    <t>Jamey Pink°</t>
  </si>
  <si>
    <t>Jamey°</t>
  </si>
  <si>
    <t>Kampala</t>
  </si>
  <si>
    <t>Kanata</t>
  </si>
  <si>
    <t>Kans</t>
  </si>
  <si>
    <t>Katharos°</t>
  </si>
  <si>
    <t>Kayak</t>
  </si>
  <si>
    <t>Keira</t>
  </si>
  <si>
    <t>Kenedy</t>
  </si>
  <si>
    <t>Kingsley°</t>
  </si>
  <si>
    <t>Kintaro</t>
  </si>
  <si>
    <t>Klondike</t>
  </si>
  <si>
    <t>Koala°</t>
  </si>
  <si>
    <t>Laurissa</t>
  </si>
  <si>
    <t>Lemonada</t>
  </si>
  <si>
    <t>Lennox</t>
  </si>
  <si>
    <t>Lexy</t>
  </si>
  <si>
    <t>Life</t>
  </si>
  <si>
    <t>Lina</t>
  </si>
  <si>
    <t>Lion King</t>
  </si>
  <si>
    <t>Livy</t>
  </si>
  <si>
    <t>Lolita</t>
  </si>
  <si>
    <t>Lovato</t>
  </si>
  <si>
    <t>Lovato Purple</t>
  </si>
  <si>
    <t>Lumistar Dark°</t>
  </si>
  <si>
    <t>Lust</t>
  </si>
  <si>
    <t>Macarena</t>
  </si>
  <si>
    <t>Maddie</t>
  </si>
  <si>
    <t>Maddox</t>
  </si>
  <si>
    <t>Madera</t>
  </si>
  <si>
    <t>Maisy</t>
  </si>
  <si>
    <t>Maisy Lime</t>
  </si>
  <si>
    <t>Maite</t>
  </si>
  <si>
    <t>Makeup</t>
  </si>
  <si>
    <t>Malena°</t>
  </si>
  <si>
    <t>Malibu°</t>
  </si>
  <si>
    <t>Mamma</t>
  </si>
  <si>
    <t>Mark Twain</t>
  </si>
  <si>
    <t>Massive</t>
  </si>
  <si>
    <t>Maverick Sunny</t>
  </si>
  <si>
    <t>Mayfair°</t>
  </si>
  <si>
    <t>Melinda</t>
  </si>
  <si>
    <t>Melrose</t>
  </si>
  <si>
    <t>Melrose Dark</t>
  </si>
  <si>
    <t>Memphis</t>
  </si>
  <si>
    <t>Meraki°</t>
  </si>
  <si>
    <t>Misty Cream</t>
  </si>
  <si>
    <t>Mochi</t>
  </si>
  <si>
    <t>Molto Dark°</t>
  </si>
  <si>
    <t>Mont Blanc</t>
  </si>
  <si>
    <t>Montes</t>
  </si>
  <si>
    <t>Monza</t>
  </si>
  <si>
    <t>Morning</t>
  </si>
  <si>
    <t>Mostaza</t>
  </si>
  <si>
    <t>Multisol°</t>
  </si>
  <si>
    <t>Music</t>
  </si>
  <si>
    <t>Mystery</t>
  </si>
  <si>
    <t>Nairoby°</t>
  </si>
  <si>
    <t>Naru</t>
  </si>
  <si>
    <t>Nelson</t>
  </si>
  <si>
    <t>Nerello</t>
  </si>
  <si>
    <t>Nikku</t>
  </si>
  <si>
    <t>Nivea</t>
  </si>
  <si>
    <t>Ocala</t>
  </si>
  <si>
    <t>Ocala Red</t>
  </si>
  <si>
    <t>Okada</t>
  </si>
  <si>
    <t>Omaha</t>
  </si>
  <si>
    <t>Orange Managua</t>
  </si>
  <si>
    <t>Orange Tedcha</t>
  </si>
  <si>
    <t>Orange Vyking</t>
  </si>
  <si>
    <t>Orinoco Dark</t>
  </si>
  <si>
    <t>Oyster</t>
  </si>
  <si>
    <t>Paintball Sunny</t>
  </si>
  <si>
    <t>Painter</t>
  </si>
  <si>
    <t>Painter Flame</t>
  </si>
  <si>
    <t>Panuco</t>
  </si>
  <si>
    <t>Papaya</t>
  </si>
  <si>
    <t>Pasión Almendra Solkiss</t>
  </si>
  <si>
    <t>Pasión Belén</t>
  </si>
  <si>
    <t>Pasion Sunset°</t>
  </si>
  <si>
    <t>Passion</t>
  </si>
  <si>
    <t>Paulina</t>
  </si>
  <si>
    <t>Pepe</t>
  </si>
  <si>
    <t>Phoenix Eagle</t>
  </si>
  <si>
    <t>Picara°</t>
  </si>
  <si>
    <t>Pinkon</t>
  </si>
  <si>
    <t>Piña Colada</t>
  </si>
  <si>
    <t>Plasma</t>
  </si>
  <si>
    <t>Powehi°</t>
  </si>
  <si>
    <t>Prada Sweet</t>
  </si>
  <si>
    <t>Prinz</t>
  </si>
  <si>
    <t>Puma</t>
  </si>
  <si>
    <t>Pumpkin</t>
  </si>
  <si>
    <t>Pumpkin Yellow</t>
  </si>
  <si>
    <t>Purple Prince</t>
  </si>
  <si>
    <t>Radamel</t>
  </si>
  <si>
    <t>Radiante</t>
  </si>
  <si>
    <t>Radost</t>
  </si>
  <si>
    <t>Randall</t>
  </si>
  <si>
    <t>Ranja</t>
  </si>
  <si>
    <t>Earth Tones</t>
  </si>
  <si>
    <t>Raspberry Brulee</t>
  </si>
  <si>
    <t>Real Deal</t>
  </si>
  <si>
    <t>Rebasco</t>
  </si>
  <si>
    <t>Red Lexy</t>
  </si>
  <si>
    <t>Red Managua</t>
  </si>
  <si>
    <t>Red Reagan</t>
  </si>
  <si>
    <t>Red Simona</t>
  </si>
  <si>
    <t>Red Tornado</t>
  </si>
  <si>
    <t>Redbone</t>
  </si>
  <si>
    <t>Refour</t>
  </si>
  <si>
    <t>Regal Suerte</t>
  </si>
  <si>
    <t>Resplandor</t>
  </si>
  <si>
    <t>Ribbon</t>
  </si>
  <si>
    <t>Rihana</t>
  </si>
  <si>
    <t>Ringer</t>
  </si>
  <si>
    <t>Rio</t>
  </si>
  <si>
    <t>Rock</t>
  </si>
  <si>
    <t>Ronda°</t>
  </si>
  <si>
    <t>Rosalinda</t>
  </si>
  <si>
    <t>Roselle</t>
  </si>
  <si>
    <t>Roselle Bronze</t>
  </si>
  <si>
    <t>Rossia</t>
  </si>
  <si>
    <t>Royalist</t>
  </si>
  <si>
    <t>Ruble</t>
  </si>
  <si>
    <t>Sabrina</t>
  </si>
  <si>
    <t>Saffina</t>
  </si>
  <si>
    <t>Salma°</t>
  </si>
  <si>
    <t>Saloon</t>
  </si>
  <si>
    <t>Sarah°</t>
  </si>
  <si>
    <t>Saronne Sunny°</t>
  </si>
  <si>
    <t>Scofield</t>
  </si>
  <si>
    <t>Scooter</t>
  </si>
  <si>
    <t>Sei Rubeus</t>
  </si>
  <si>
    <t>Sherpa</t>
  </si>
  <si>
    <t>Shock</t>
  </si>
  <si>
    <t>Shortcake</t>
  </si>
  <si>
    <t>Shortcake Bronze</t>
  </si>
  <si>
    <t>Show</t>
  </si>
  <si>
    <t>Showwiner°</t>
  </si>
  <si>
    <t>Siara</t>
  </si>
  <si>
    <t>Sirius</t>
  </si>
  <si>
    <t>Skylie</t>
  </si>
  <si>
    <t>Smashing</t>
  </si>
  <si>
    <t>Solar Eclipse</t>
  </si>
  <si>
    <t>Soleado</t>
  </si>
  <si>
    <t>Solimar°</t>
  </si>
  <si>
    <t>Souffle</t>
  </si>
  <si>
    <t>Spartak</t>
  </si>
  <si>
    <t>Starburst</t>
  </si>
  <si>
    <t>Stripy</t>
  </si>
  <si>
    <t>Stripy Yellow</t>
  </si>
  <si>
    <t>StrongGold</t>
  </si>
  <si>
    <t>Suerte</t>
  </si>
  <si>
    <t>Sunball</t>
  </si>
  <si>
    <t>Suncica</t>
  </si>
  <si>
    <t>Sunkiss</t>
  </si>
  <si>
    <t>Sunkiss Yellow°</t>
  </si>
  <si>
    <t>Sunny Day</t>
  </si>
  <si>
    <t>Swan</t>
  </si>
  <si>
    <t>Sweet</t>
  </si>
  <si>
    <t>Sweet Dreams</t>
  </si>
  <si>
    <t>Swing</t>
  </si>
  <si>
    <t>Tanana°</t>
  </si>
  <si>
    <t>Tarapaca</t>
  </si>
  <si>
    <t>Tedcha</t>
  </si>
  <si>
    <t>Tequila Sunrise</t>
  </si>
  <si>
    <t>Testarossa</t>
  </si>
  <si>
    <t>Theron</t>
  </si>
  <si>
    <t>Tiara</t>
  </si>
  <si>
    <t>Tiggerag</t>
  </si>
  <si>
    <t>Timber</t>
  </si>
  <si>
    <t>Tinsel</t>
  </si>
  <si>
    <t>Top Dollar</t>
  </si>
  <si>
    <t>Top Dollar Pink</t>
  </si>
  <si>
    <t>Tornado</t>
  </si>
  <si>
    <t>Traviata</t>
  </si>
  <si>
    <t>Trissia</t>
  </si>
  <si>
    <t>Tropical</t>
  </si>
  <si>
    <t>Troyes</t>
  </si>
  <si>
    <t>True</t>
  </si>
  <si>
    <t>Tulum</t>
  </si>
  <si>
    <t>Tusca</t>
  </si>
  <si>
    <t>Typhoon</t>
  </si>
  <si>
    <t>Union</t>
  </si>
  <si>
    <t>Uptown</t>
  </si>
  <si>
    <t>Urban</t>
  </si>
  <si>
    <t>Uva</t>
  </si>
  <si>
    <t>Uvita</t>
  </si>
  <si>
    <t>Valentino</t>
  </si>
  <si>
    <t>Venecia</t>
  </si>
  <si>
    <t>Verity</t>
  </si>
  <si>
    <t>Veronica</t>
  </si>
  <si>
    <t>Veronica Peach</t>
  </si>
  <si>
    <t>Vespa Splendid</t>
  </si>
  <si>
    <t>Viola</t>
  </si>
  <si>
    <t>Virgo°</t>
  </si>
  <si>
    <t>Virtue</t>
  </si>
  <si>
    <t>Vitamin C</t>
  </si>
  <si>
    <t>Vivachi Splendid°</t>
  </si>
  <si>
    <t>Vivien</t>
  </si>
  <si>
    <t>Vyking</t>
  </si>
  <si>
    <t>Wazowsky°</t>
  </si>
  <si>
    <t>Whatsapp</t>
  </si>
  <si>
    <t>White Dove°</t>
  </si>
  <si>
    <t>White Needle</t>
  </si>
  <si>
    <t>White Polaris</t>
  </si>
  <si>
    <t>White Secret</t>
  </si>
  <si>
    <t>Whooper</t>
  </si>
  <si>
    <t>Whoopi</t>
  </si>
  <si>
    <t>Woody</t>
  </si>
  <si>
    <t>X0855°</t>
  </si>
  <si>
    <t>Y1704</t>
  </si>
  <si>
    <t>Yellow Puma</t>
  </si>
  <si>
    <t>Yellow Reagan</t>
  </si>
  <si>
    <t>Yellowstone</t>
  </si>
  <si>
    <t>Yoko Ono</t>
  </si>
  <si>
    <t>Yolanda</t>
  </si>
  <si>
    <t>Yuri</t>
  </si>
  <si>
    <t>Zaza</t>
  </si>
  <si>
    <t>Zembla</t>
  </si>
  <si>
    <t>Zembla Green</t>
  </si>
  <si>
    <t>Zembla Lime</t>
  </si>
  <si>
    <t>Zembla Sunny</t>
  </si>
  <si>
    <t>Zen°</t>
  </si>
  <si>
    <t>Zippo</t>
  </si>
  <si>
    <t>Zumba</t>
  </si>
  <si>
    <t>Nave</t>
  </si>
  <si>
    <t>Posición</t>
  </si>
  <si>
    <t>Plantas</t>
  </si>
  <si>
    <t>Fecha Siembra</t>
  </si>
  <si>
    <t>Parcial</t>
  </si>
  <si>
    <t>Tipo de Siembra</t>
  </si>
  <si>
    <t>Fiesta|Año</t>
  </si>
  <si>
    <t>Notas</t>
  </si>
  <si>
    <t>Propiedades de Siembras</t>
  </si>
  <si>
    <t>Estado de cama</t>
  </si>
  <si>
    <t>Desinfección</t>
  </si>
  <si>
    <t>Medios de cultivo</t>
  </si>
  <si>
    <t>Origen</t>
  </si>
  <si>
    <t>Variedades</t>
  </si>
  <si>
    <t>Cortinas</t>
  </si>
  <si>
    <t>Plantas /Linea</t>
  </si>
  <si>
    <t>CH</t>
  </si>
  <si>
    <t>Lineas/cortina</t>
  </si>
  <si>
    <t>Lineas</t>
  </si>
  <si>
    <t>Área</t>
  </si>
  <si>
    <t>Sede</t>
  </si>
  <si>
    <t>Concat</t>
  </si>
  <si>
    <t>Cama Completa</t>
  </si>
  <si>
    <t>Si</t>
  </si>
  <si>
    <t>No</t>
  </si>
  <si>
    <t>Aseguramiento</t>
  </si>
  <si>
    <t>Ruta de la Carpeta principal:</t>
  </si>
  <si>
    <t>C:\Users\honpaull.ortiz\OneDrive - GR Chia S.A.S\Planos de Siembra - 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</si>
</sst>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8"/>
      <color theme="1"/>
      <name val="Aptos Narrow"/>
      <family val="2"/>
      <scheme val="minor"/>
    </font>
    <font>
      <sz val="8"/>
      <color rgb="FFFF0000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1"/>
      <name val="Abad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Font="1" applyBorder="1"/>
    <xf numFmtId="14" fontId="0" fillId="2" borderId="0" xfId="0" applyNumberFormat="1" applyFill="1"/>
    <xf numFmtId="1" fontId="0" fillId="2" borderId="0" xfId="0" applyNumberFormat="1" applyFill="1"/>
    <xf numFmtId="14" fontId="0" fillId="0" borderId="0" xfId="0" applyNumberFormat="1"/>
    <xf numFmtId="49" fontId="0" fillId="0" borderId="0" xfId="0" applyNumberFormat="1"/>
    <xf numFmtId="1" fontId="0" fillId="0" borderId="0" xfId="0" applyNumberFormat="1"/>
    <xf numFmtId="1" fontId="1" fillId="2" borderId="0" xfId="0" applyNumberFormat="1" applyFont="1" applyFill="1"/>
    <xf numFmtId="1" fontId="1" fillId="0" borderId="0" xfId="0" applyNumberFormat="1" applyFont="1"/>
    <xf numFmtId="0" fontId="0" fillId="0" borderId="0" xfId="0" applyProtection="1">
      <protection locked="0"/>
    </xf>
    <xf numFmtId="0" fontId="1" fillId="4" borderId="0" xfId="0" applyFont="1" applyFill="1"/>
    <xf numFmtId="0" fontId="5" fillId="4" borderId="2" xfId="0" applyFont="1" applyFill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/>
    <xf numFmtId="0" fontId="5" fillId="4" borderId="4" xfId="0" applyFont="1" applyFill="1" applyBorder="1" applyAlignment="1">
      <alignment horizontal="left" vertical="center"/>
    </xf>
    <xf numFmtId="0" fontId="11" fillId="0" borderId="4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0" xfId="0" applyFont="1" applyAlignment="1">
      <alignment horizontal="left"/>
    </xf>
    <xf numFmtId="0" fontId="11" fillId="0" borderId="0" xfId="0" applyFont="1"/>
    <xf numFmtId="0" fontId="4" fillId="0" borderId="3" xfId="0" applyFont="1" applyBorder="1" applyAlignment="1">
      <alignment horizontal="left" vertical="center"/>
    </xf>
    <xf numFmtId="14" fontId="4" fillId="0" borderId="2" xfId="0" applyNumberFormat="1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6" fillId="4" borderId="6" xfId="0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4" fontId="7" fillId="0" borderId="6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4" fillId="0" borderId="2" xfId="0" applyFont="1" applyBorder="1"/>
    <xf numFmtId="14" fontId="4" fillId="0" borderId="2" xfId="0" applyNumberFormat="1" applyFont="1" applyBorder="1"/>
    <xf numFmtId="14" fontId="4" fillId="0" borderId="4" xfId="0" applyNumberFormat="1" applyFont="1" applyBorder="1" applyAlignment="1">
      <alignment horizontal="left" vertical="center"/>
    </xf>
    <xf numFmtId="0" fontId="13" fillId="0" borderId="0" xfId="0" applyFont="1"/>
    <xf numFmtId="0" fontId="13" fillId="6" borderId="0" xfId="0" applyFont="1" applyFill="1"/>
    <xf numFmtId="14" fontId="13" fillId="0" borderId="0" xfId="0" applyNumberFormat="1" applyFont="1"/>
    <xf numFmtId="49" fontId="13" fillId="0" borderId="0" xfId="0" quotePrefix="1" applyNumberFormat="1" applyFont="1" applyProtection="1">
      <protection locked="0"/>
    </xf>
    <xf numFmtId="0" fontId="13" fillId="0" borderId="0" xfId="0" applyFont="1" applyProtection="1">
      <protection locked="0"/>
    </xf>
    <xf numFmtId="0" fontId="13" fillId="0" borderId="0" xfId="0" quotePrefix="1" applyFont="1"/>
    <xf numFmtId="1" fontId="13" fillId="0" borderId="0" xfId="0" applyNumberFormat="1" applyFont="1"/>
    <xf numFmtId="14" fontId="13" fillId="0" borderId="0" xfId="0" applyNumberFormat="1" applyFont="1" applyProtection="1">
      <protection locked="0"/>
    </xf>
    <xf numFmtId="1" fontId="13" fillId="0" borderId="0" xfId="0" quotePrefix="1" applyNumberFormat="1" applyFont="1" applyProtection="1">
      <protection locked="0"/>
    </xf>
    <xf numFmtId="1" fontId="13" fillId="0" borderId="0" xfId="0" applyNumberFormat="1" applyFont="1" applyProtection="1">
      <protection locked="0"/>
    </xf>
    <xf numFmtId="0" fontId="0" fillId="5" borderId="0" xfId="0" applyFill="1" applyProtection="1">
      <protection locked="0"/>
    </xf>
    <xf numFmtId="0" fontId="0" fillId="7" borderId="0" xfId="0" applyFill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13" fillId="7" borderId="0" xfId="0" applyFont="1" applyFill="1"/>
    <xf numFmtId="0" fontId="0" fillId="8" borderId="0" xfId="0" applyFill="1" applyProtection="1">
      <protection locked="0"/>
    </xf>
    <xf numFmtId="0" fontId="13" fillId="0" borderId="0" xfId="0" quotePrefix="1" applyFont="1" applyProtection="1">
      <protection locked="0"/>
    </xf>
    <xf numFmtId="0" fontId="3" fillId="3" borderId="0" xfId="0" applyFont="1" applyFill="1" applyAlignment="1">
      <alignment horizontal="center" vertical="center"/>
    </xf>
  </cellXfs>
  <cellStyles count="1">
    <cellStyle name="Normal" xfId="0" builtinId="0"/>
  </cellStyles>
  <dxfs count="51">
    <dxf>
      <numFmt numFmtId="30" formatCode="@"/>
    </dxf>
    <dxf>
      <numFmt numFmtId="1" formatCode="0"/>
      <fill>
        <patternFill patternType="solid">
          <fgColor theme="0" tint="-0.14999847407452621"/>
          <bgColor theme="0" tint="-0.14999847407452621"/>
        </patternFill>
      </fill>
    </dxf>
    <dxf>
      <numFmt numFmtId="164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164" formatCode="m/d/yyyy"/>
      <fill>
        <patternFill patternType="solid">
          <fgColor theme="0" tint="-0.14999847407452621"/>
          <bgColor theme="0" tint="-0.14999847407452621"/>
        </patternFill>
      </fill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</dxf>
    <dxf>
      <numFmt numFmtId="1" formatCode="0"/>
    </dxf>
    <dxf>
      <protection locked="0" hidden="0"/>
    </dxf>
    <dxf>
      <numFmt numFmtId="0" formatCode="General"/>
      <protection locked="0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none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>
          <bgColor rgb="FFF7F7F7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0" formatCode="General"/>
      <protection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164" formatCode="m/d/yyyy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30" formatCode="@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30" formatCode="@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numFmt numFmtId="0" formatCode="General"/>
      <protection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protection hidden="0"/>
    </dxf>
    <dxf>
      <font>
        <strike val="0"/>
        <outline val="0"/>
        <shadow val="0"/>
        <u val="none"/>
        <vertAlign val="baseline"/>
        <sz val="10"/>
        <color theme="1"/>
        <name val="Abadi"/>
        <family val="2"/>
        <scheme val="none"/>
      </font>
      <protection locked="1" hidden="0"/>
    </dxf>
    <dxf>
      <font>
        <color rgb="FF006100"/>
      </font>
      <fill>
        <patternFill>
          <bgColor rgb="FFC6EFCE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svg"/><Relationship Id="rId4" Type="http://schemas.openxmlformats.org/officeDocument/2006/relationships/image" Target="../media/image6.svg"/><Relationship Id="rId9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0</xdr:row>
      <xdr:rowOff>0</xdr:rowOff>
    </xdr:from>
    <xdr:to>
      <xdr:col>13</xdr:col>
      <xdr:colOff>914400</xdr:colOff>
      <xdr:row>5</xdr:row>
      <xdr:rowOff>104775</xdr:rowOff>
    </xdr:to>
    <xdr:pic macro="[0]!ThisWorkbook.Volver_A_Inicio">
      <xdr:nvPicPr>
        <xdr:cNvPr id="3" name="Gráfico 2" descr="Hogar con relleno sólido">
          <a:extLst>
            <a:ext uri="{FF2B5EF4-FFF2-40B4-BE49-F238E27FC236}">
              <a16:creationId xmlns:a16="http://schemas.microsoft.com/office/drawing/2014/main" id="{EE2838C1-F094-A080-C8B7-FFBB9431B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754475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11475</xdr:rowOff>
    </xdr:from>
    <xdr:to>
      <xdr:col>1</xdr:col>
      <xdr:colOff>1114200</xdr:colOff>
      <xdr:row>21</xdr:row>
      <xdr:rowOff>96974</xdr:rowOff>
    </xdr:to>
    <xdr:pic macro="[0]!ThisWorkbook.IrA_InformacionCamas">
      <xdr:nvPicPr>
        <xdr:cNvPr id="3" name="Gráfico 2" descr="Portapapeles con relleno sólido">
          <a:extLst>
            <a:ext uri="{FF2B5EF4-FFF2-40B4-BE49-F238E27FC236}">
              <a16:creationId xmlns:a16="http://schemas.microsoft.com/office/drawing/2014/main" id="{7ADB6B7B-5B07-99A7-4AA5-9BFE5C4AE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1329936"/>
          <a:ext cx="1801003" cy="1830078"/>
        </a:xfrm>
        <a:prstGeom prst="rect">
          <a:avLst/>
        </a:prstGeom>
      </xdr:spPr>
    </xdr:pic>
    <xdr:clientData/>
  </xdr:twoCellAnchor>
  <xdr:twoCellAnchor editAs="oneCell">
    <xdr:from>
      <xdr:col>2</xdr:col>
      <xdr:colOff>167277</xdr:colOff>
      <xdr:row>9</xdr:row>
      <xdr:rowOff>11475</xdr:rowOff>
    </xdr:from>
    <xdr:to>
      <xdr:col>4</xdr:col>
      <xdr:colOff>595677</xdr:colOff>
      <xdr:row>21</xdr:row>
      <xdr:rowOff>96974</xdr:rowOff>
    </xdr:to>
    <xdr:pic macro="[0]!IrA_Siembras">
      <xdr:nvPicPr>
        <xdr:cNvPr id="5" name="Gráfico 4" descr="Planta contorno">
          <a:extLst>
            <a:ext uri="{FF2B5EF4-FFF2-40B4-BE49-F238E27FC236}">
              <a16:creationId xmlns:a16="http://schemas.microsoft.com/office/drawing/2014/main" id="{8208240C-45BF-0BCC-977A-653E3B107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2356" y="1329936"/>
          <a:ext cx="1802005" cy="1830078"/>
        </a:xfrm>
        <a:prstGeom prst="rect">
          <a:avLst/>
        </a:prstGeom>
      </xdr:spPr>
    </xdr:pic>
    <xdr:clientData/>
  </xdr:twoCellAnchor>
  <xdr:twoCellAnchor editAs="oneCell">
    <xdr:from>
      <xdr:col>5</xdr:col>
      <xdr:colOff>266925</xdr:colOff>
      <xdr:row>8</xdr:row>
      <xdr:rowOff>114300</xdr:rowOff>
    </xdr:from>
    <xdr:to>
      <xdr:col>16384</xdr:col>
      <xdr:colOff>9525</xdr:colOff>
      <xdr:row>21</xdr:row>
      <xdr:rowOff>56925</xdr:rowOff>
    </xdr:to>
    <xdr:pic macro="[0]!ThisWorkbook.Siembras_RPA">
      <xdr:nvPicPr>
        <xdr:cNvPr id="7" name="Gráfico 6" descr="Robot con relleno sólido">
          <a:extLst>
            <a:ext uri="{FF2B5EF4-FFF2-40B4-BE49-F238E27FC236}">
              <a16:creationId xmlns:a16="http://schemas.microsoft.com/office/drawing/2014/main" id="{8CA927F7-D1A3-796E-78B8-5BFDE877D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262412" y="1287379"/>
          <a:ext cx="1803008" cy="1832585"/>
        </a:xfrm>
        <a:prstGeom prst="rect">
          <a:avLst/>
        </a:prstGeom>
      </xdr:spPr>
    </xdr:pic>
    <xdr:clientData/>
  </xdr:twoCellAnchor>
  <xdr:twoCellAnchor editAs="oneCell">
    <xdr:from>
      <xdr:col>7</xdr:col>
      <xdr:colOff>145800</xdr:colOff>
      <xdr:row>0</xdr:row>
      <xdr:rowOff>0</xdr:rowOff>
    </xdr:from>
    <xdr:to>
      <xdr:col>7</xdr:col>
      <xdr:colOff>505800</xdr:colOff>
      <xdr:row>2</xdr:row>
      <xdr:rowOff>74250</xdr:rowOff>
    </xdr:to>
    <xdr:pic macro="[0]!ThisWorkbook.IrA_DatosBase">
      <xdr:nvPicPr>
        <xdr:cNvPr id="9" name="Gráfico 8" descr="Icono de menú de hamburguesa con relleno sólido">
          <a:extLst>
            <a:ext uri="{FF2B5EF4-FFF2-40B4-BE49-F238E27FC236}">
              <a16:creationId xmlns:a16="http://schemas.microsoft.com/office/drawing/2014/main" id="{867EE561-4A59-2DEF-D382-262C5E589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8375" y="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2</xdr:row>
      <xdr:rowOff>69237</xdr:rowOff>
    </xdr:to>
    <xdr:pic macro="[0]!ThisWorkbook.Modo_Mantenimiento">
      <xdr:nvPicPr>
        <xdr:cNvPr id="13" name="Gráfico 12" descr="Herramientas con relleno sólido">
          <a:extLst>
            <a:ext uri="{FF2B5EF4-FFF2-40B4-BE49-F238E27FC236}">
              <a16:creationId xmlns:a16="http://schemas.microsoft.com/office/drawing/2014/main" id="{A9414B4A-295F-B0AB-F2F8-4CA708BED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326803</xdr:colOff>
      <xdr:row>25</xdr:row>
      <xdr:rowOff>106224</xdr:rowOff>
    </xdr:from>
    <xdr:to>
      <xdr:col>8</xdr:col>
      <xdr:colOff>0</xdr:colOff>
      <xdr:row>1048576</xdr:row>
      <xdr:rowOff>25066</xdr:rowOff>
    </xdr:to>
    <xdr:pic macro="[0]!ThisWorkbook.Acerca_De_Sistema">
      <xdr:nvPicPr>
        <xdr:cNvPr id="17" name="Gráfico 16" descr="Cmd (terminal) con relleno sólido">
          <a:extLst>
            <a:ext uri="{FF2B5EF4-FFF2-40B4-BE49-F238E27FC236}">
              <a16:creationId xmlns:a16="http://schemas.microsoft.com/office/drawing/2014/main" id="{02B480FE-2AE0-59F1-00E9-E918A8B26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695895" y="3750790"/>
          <a:ext cx="360000" cy="360000"/>
        </a:xfrm>
        <a:prstGeom prst="rect">
          <a:avLst/>
        </a:prstGeom>
      </xdr:spPr>
    </xdr:pic>
    <xdr:clientData/>
  </xdr:twoCellAnchor>
  <xdr:oneCellAnchor>
    <xdr:from>
      <xdr:col>1</xdr:col>
      <xdr:colOff>1</xdr:colOff>
      <xdr:row>0</xdr:row>
      <xdr:rowOff>0</xdr:rowOff>
    </xdr:from>
    <xdr:ext cx="4083538" cy="279948"/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715D39C6-9755-26E0-86E8-2CD419EA52C9}"/>
            </a:ext>
          </a:extLst>
        </xdr:cNvPr>
        <xdr:cNvSpPr txBox="1"/>
      </xdr:nvSpPr>
      <xdr:spPr>
        <a:xfrm>
          <a:off x="610578" y="0"/>
          <a:ext cx="4083538" cy="279948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CO">
              <a:latin typeface="Segoe UI" panose="020B0502040204020203" pitchFamily="34" charset="0"/>
              <a:cs typeface="Segoe UI" panose="020B0502040204020203" pitchFamily="34" charset="0"/>
            </a:rPr>
            <a:t>Panel de Control - Automatización de Siembras</a:t>
          </a:r>
          <a:endParaRPr lang="es-CO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0</xdr:col>
      <xdr:colOff>247758</xdr:colOff>
      <xdr:row>22</xdr:row>
      <xdr:rowOff>13102</xdr:rowOff>
    </xdr:from>
    <xdr:ext cx="1305486" cy="264560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84B49BE-A696-C15D-C639-CA628690B94C}"/>
            </a:ext>
          </a:extLst>
        </xdr:cNvPr>
        <xdr:cNvSpPr txBox="1"/>
      </xdr:nvSpPr>
      <xdr:spPr>
        <a:xfrm>
          <a:off x="247758" y="3156352"/>
          <a:ext cx="1305486" cy="264560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/>
            <a:t>1. Actualizar Camas</a:t>
          </a:r>
          <a:endParaRPr lang="es-CO" sz="1100"/>
        </a:p>
      </xdr:txBody>
    </xdr:sp>
    <xdr:clientData/>
  </xdr:oneCellAnchor>
  <xdr:oneCellAnchor>
    <xdr:from>
      <xdr:col>2</xdr:col>
      <xdr:colOff>401815</xdr:colOff>
      <xdr:row>22</xdr:row>
      <xdr:rowOff>13102</xdr:rowOff>
    </xdr:from>
    <xdr:ext cx="1332929" cy="264560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5F341AC6-0FB8-4FB7-8C86-FF8102009881}"/>
            </a:ext>
          </a:extLst>
        </xdr:cNvPr>
        <xdr:cNvSpPr txBox="1"/>
      </xdr:nvSpPr>
      <xdr:spPr>
        <a:xfrm>
          <a:off x="2336581" y="3156352"/>
          <a:ext cx="1332929" cy="264560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/>
            <a:t>2. Ingresar Siembras</a:t>
          </a:r>
          <a:endParaRPr lang="es-CO" sz="1100"/>
        </a:p>
      </xdr:txBody>
    </xdr:sp>
    <xdr:clientData/>
  </xdr:oneCellAnchor>
  <xdr:oneCellAnchor>
    <xdr:from>
      <xdr:col>5</xdr:col>
      <xdr:colOff>467949</xdr:colOff>
      <xdr:row>21</xdr:row>
      <xdr:rowOff>130342</xdr:rowOff>
    </xdr:from>
    <xdr:ext cx="1400961" cy="264560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DBFFA844-A82D-4AFD-A3CC-1AB5E9D2107D}"/>
            </a:ext>
          </a:extLst>
        </xdr:cNvPr>
        <xdr:cNvSpPr txBox="1"/>
      </xdr:nvSpPr>
      <xdr:spPr>
        <a:xfrm>
          <a:off x="4456543" y="3130717"/>
          <a:ext cx="1400961" cy="264560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/>
            <a:t>3. Ejecutar Robot RPA</a:t>
          </a:r>
          <a:endParaRPr lang="es-CO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16384</xdr:col>
      <xdr:colOff>38100</xdr:colOff>
      <xdr:row>574</xdr:row>
      <xdr:rowOff>57150</xdr:rowOff>
    </xdr:to>
    <xdr:pic macro="[0]!ThisWorkbook.Volver_A_Inicio">
      <xdr:nvPicPr>
        <xdr:cNvPr id="2" name="Gráfico 1" descr="Hogar con relleno sólido">
          <a:extLst>
            <a:ext uri="{FF2B5EF4-FFF2-40B4-BE49-F238E27FC236}">
              <a16:creationId xmlns:a16="http://schemas.microsoft.com/office/drawing/2014/main" id="{17625BB3-ACBB-45DE-80AC-399CC2669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05400" y="0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0</xdr:row>
      <xdr:rowOff>9525</xdr:rowOff>
    </xdr:from>
    <xdr:to>
      <xdr:col>15</xdr:col>
      <xdr:colOff>914400</xdr:colOff>
      <xdr:row>4</xdr:row>
      <xdr:rowOff>66675</xdr:rowOff>
    </xdr:to>
    <xdr:pic macro="[0]!ThisWorkbook.Volver_A_Inicio">
      <xdr:nvPicPr>
        <xdr:cNvPr id="2" name="Gráfico 1" descr="Hogar con relleno sólido">
          <a:extLst>
            <a:ext uri="{FF2B5EF4-FFF2-40B4-BE49-F238E27FC236}">
              <a16:creationId xmlns:a16="http://schemas.microsoft.com/office/drawing/2014/main" id="{384FC7F1-EDBF-4962-A9E9-5D8EDC7F0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01175" y="9525"/>
          <a:ext cx="914400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201366-EBD6-41F2-9019-4F0452E5EDDA}" name="Tabla20" displayName="Tabla20" ref="A1:M100" totalsRowShown="0" headerRowDxfId="47" dataDxfId="46">
  <tableColumns count="13">
    <tableColumn id="4" xr3:uid="{15C48CC7-5B8A-4E80-B1E3-F65FDF91CF2D}" name="Concat" dataDxfId="45">
      <calculatedColumnFormula>_xlfn.CONCAT(Tabla20[[#This Row],[Bloque]],Tabla20[[#This Row],[Lado]],Tabla20[[#This Row],[Cama]])</calculatedColumnFormula>
    </tableColumn>
    <tableColumn id="6" xr3:uid="{BFA1AE26-DF5E-488A-9768-FE2EB76CF288}" name="Bloque" dataDxfId="44">
      <extLst>
        <ext xmlns:xlmsforms="http://schemas.microsoft.com/office/spreadsheetml/2023/msForms" uri="{FCC71383-01E1-4257-9335-427F07BE8D7F}">
          <xlmsforms:question id="r67968f499b4a45d4baf5d495fbd912fd"/>
        </ext>
      </extLst>
    </tableColumn>
    <tableColumn id="7" xr3:uid="{ADC44A92-9E23-42D8-9E6F-689480AE7D27}" name="Lado" dataDxfId="43">
      <extLst>
        <ext xmlns:xlmsforms="http://schemas.microsoft.com/office/spreadsheetml/2023/msForms" uri="{FCC71383-01E1-4257-9335-427F07BE8D7F}">
          <xlmsforms:question id="rc7df3345851c42f0808d12cc0e2102ac"/>
        </ext>
      </extLst>
    </tableColumn>
    <tableColumn id="8" xr3:uid="{3E36287B-BA77-40C3-AB17-9FAF5B13D053}" name="Cama" dataDxfId="42">
      <extLst>
        <ext xmlns:xlmsforms="http://schemas.microsoft.com/office/spreadsheetml/2023/msForms" uri="{FCC71383-01E1-4257-9335-427F07BE8D7F}">
          <xlmsforms:question id="rc640e93bada946e98f4955e53cb1f22c"/>
        </ext>
      </extLst>
    </tableColumn>
    <tableColumn id="2" xr3:uid="{786E9D03-8393-4D1B-AD96-2243D9D65FDE}" name="Flor" dataDxfId="41">
      <calculatedColumnFormula>IFERROR(_xlfn.XLOOKUP(Tabla20[[#This Row],[Variedades]],Tabla10[Variedad],Tabla10[Flor]),"")</calculatedColumnFormula>
    </tableColumn>
    <tableColumn id="12" xr3:uid="{FD919DE0-CDFF-4D71-88E1-E2E9A798C80E}" name="Variedades" dataDxfId="40">
      <extLst>
        <ext xmlns:xlmsforms="http://schemas.microsoft.com/office/spreadsheetml/2023/msForms" uri="{FCC71383-01E1-4257-9335-427F07BE8D7F}">
          <xlmsforms:question id="r8b76aea616e24597be013872bd7d4d8b"/>
        </ext>
      </extLst>
    </tableColumn>
    <tableColumn id="16" xr3:uid="{46DE19F5-3252-4D1E-9CDC-23071946FE10}" name="Plantas" dataDxfId="39">
      <calculatedColumnFormula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calculatedColumnFormula>
    </tableColumn>
    <tableColumn id="11" xr3:uid="{63952C0C-BDFB-47E2-8281-2F50F41B761C}" name="Fecha Siembra" dataDxfId="38">
      <extLst>
        <ext xmlns:xlmsforms="http://schemas.microsoft.com/office/spreadsheetml/2023/msForms" uri="{FCC71383-01E1-4257-9335-427F07BE8D7F}">
          <xlmsforms:question id="r96732edb26954e1b89be27e023bda056"/>
        </ext>
      </extLst>
    </tableColumn>
    <tableColumn id="17" xr3:uid="{2A2F2B14-437A-4ABA-A8A6-C7B7611B3B47}" name="Cama Completa" dataDxfId="37">
      <extLst>
        <ext xmlns:xlmsforms="http://schemas.microsoft.com/office/spreadsheetml/2023/msForms" uri="{FCC71383-01E1-4257-9335-427F07BE8D7F}">
          <xlmsforms:question id="r07292ba78c3f4036b9f0326241c27944"/>
        </ext>
      </extLst>
    </tableColumn>
    <tableColumn id="10" xr3:uid="{A43B6D8C-D81C-454D-AEB6-38496129B08A}" name="Plantas /Linea" dataDxfId="36">
      <extLst>
        <ext xmlns:xlmsforms="http://schemas.microsoft.com/office/spreadsheetml/2023/msForms" uri="{FCC71383-01E1-4257-9335-427F07BE8D7F}">
          <xlmsforms:question id="r57896a6693c449f790fc8db2011b10e6"/>
        </ext>
      </extLst>
    </tableColumn>
    <tableColumn id="14" xr3:uid="{C1A1F623-AEF5-40EB-A82D-EEF8B88B4726}" name="Cortinas" dataDxfId="35">
      <extLst>
        <ext xmlns:xlmsforms="http://schemas.microsoft.com/office/spreadsheetml/2023/msForms" uri="{FCC71383-01E1-4257-9335-427F07BE8D7F}">
          <xlmsforms:question id="r9246cedb57244a01834443de01b0637a"/>
        </ext>
      </extLst>
    </tableColumn>
    <tableColumn id="1" xr3:uid="{8C6C2DCE-5911-40CC-B51C-7F37EDA92216}" name="Semana" dataDxfId="34">
      <calculatedColumnFormula>IFERROR(_xlfn.XLOOKUP(Tabla20[[#This Row],[Fecha Siembra]],SemXDias[Dias],SemXDias[Semanas]),"")</calculatedColumnFormula>
    </tableColumn>
    <tableColumn id="3" xr3:uid="{5D9D4589-43E9-42C4-A061-F092966E0E61}" name="Aseguramiento" dataDxfId="33">
      <calculatedColumnFormula>+IFERROR(IF(AND(Tabla20[[#This Row],[Cama Completa]]="si",Tabla20[[#This Row],[Cortinas]]&lt;&gt;_xlfn.XLOOKUP(A2,Info_Camas[Concat],Info_Camas[Cortinas])),"Verifique que sea cama Completa","OK"),"")</calculatedColumnFormula>
    </tableColumn>
  </tableColumns>
  <tableStyleInfo name="TableStyleMedium2" showFirstColumn="0" showLastColumn="0" showRowStripes="1" showColumnStripes="0"/>
  <extLst>
    <ext xmlns:xlmsforms="http://schemas.microsoft.com/office/spreadsheetml/2023/msForms" uri="{839C7E11-91E4-4DBD-9C5D-0DEA604FA9AC}">
      <xlmsforms:msForm id="4J0PURWWl0qP-gNU3WzWx3e4swSXf19OnYGMmwd_O4dUMjZUSVRXRFBHSE5OWTFKM1pXNzc5ODRMSi4u" isFormConnected="1" maxResponseId="11" latestEventMarker="56">
        <xlmsforms:syncedQuestionId>id</xlmsforms:syncedQuestionId>
        <xlmsforms:syncedQuestionId>startDate</xlmsforms:syncedQuestionId>
        <xlmsforms:syncedQuestionId>submitDate</xlmsforms:syncedQuestionId>
        <xlmsforms:syncedQuestionId>responder</xlmsforms:syncedQuestionId>
        <xlmsforms:syncedQuestionId>responderName</xlmsforms:syncedQuestionId>
        <xlmsforms:syncedQuestionId>r67968f499b4a45d4baf5d495fbd912fd</xlmsforms:syncedQuestionId>
        <xlmsforms:syncedQuestionId>rc7df3345851c42f0808d12cc0e2102ac</xlmsforms:syncedQuestionId>
        <xlmsforms:syncedQuestionId>rc640e93bada946e98f4955e53cb1f22c</xlmsforms:syncedQuestionId>
        <xlmsforms:syncedQuestionId>r274dd03a5d494492b41556fda2428d4a</xlmsforms:syncedQuestionId>
        <xlmsforms:syncedQuestionId>r57896a6693c449f790fc8db2011b10e6</xlmsforms:syncedQuestionId>
        <xlmsforms:syncedQuestionId>r96732edb26954e1b89be27e023bda056</xlmsforms:syncedQuestionId>
        <xlmsforms:syncedQuestionId>r4e6016e4c8f441f880796f2d5854d9b1</xlmsforms:syncedQuestionId>
        <xlmsforms:syncedQuestionId>r8afc727cee52491ea151ab2162f292f5</xlmsforms:syncedQuestionId>
        <xlmsforms:syncedQuestionId>r69cd189a6db041f097429853a9f7efe4</xlmsforms:syncedQuestionId>
        <xlmsforms:syncedQuestionId>r9246cedb57244a01834443de01b0637a</xlmsforms:syncedQuestionId>
        <xlmsforms:syncedQuestionId>r91c572f92c434dd0b71a1f0b1fb23b6b</xlmsforms:syncedQuestionId>
        <xlmsforms:syncedQuestionId>r8b76aea616e24597be013872bd7d4d8b</xlmsforms:syncedQuestionId>
        <xlmsforms:syncedQuestionId>r07292ba78c3f4036b9f0326241c27944</xlmsforms:syncedQuestionId>
      </xlmsforms:msForm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271AD2-F0F8-44CF-9C44-23ED19AC0A3B}" name="Plantilla_Siembras" displayName="Plantilla_Siembras" ref="A3:N103" totalsRowShown="0" headerRowDxfId="31" dataDxfId="29" headerRowBorderDxfId="30" tableBorderDxfId="28" totalsRowBorderDxfId="27">
  <tableColumns count="14">
    <tableColumn id="5" xr3:uid="{21F50B05-31CA-431B-B006-544F2C1D093C}" name="Posición" dataDxfId="26">
      <calculatedColumnFormula>IF(Siembras!B2="","",_xlfn.CONCAT(Siembras!B2,":",IF(ROUNDUP(Siembras!D2/4,0)&lt;10,_xlfn.CONCAT(0,ROUNDUP(Siembras!D2/4,0)),ROUNDUP(Siembras!D2/4,0)),":",Siembras!C2,":",Siembras!D2))</calculatedColumnFormula>
    </tableColumn>
    <tableColumn id="6" xr3:uid="{F2B5FA9C-EAA1-417B-B492-D08177898A67}" name="Flor" dataDxfId="25">
      <calculatedColumnFormula>+IF(Siembras!E2="","",Siembras!E2)</calculatedColumnFormula>
    </tableColumn>
    <tableColumn id="7" xr3:uid="{8CB16CA0-3091-4746-80EF-41E733EF90F5}" name="Variedad" dataDxfId="24">
      <calculatedColumnFormula>+IF(Siembras!F2="","",Siembras!F2)</calculatedColumnFormula>
    </tableColumn>
    <tableColumn id="8" xr3:uid="{2A81C9EC-974F-4744-9EC3-E59594C0A633}" name="Plantas" dataDxfId="23">
      <calculatedColumnFormula>+IF(Siembras!G2="","",Siembras!G2)</calculatedColumnFormula>
    </tableColumn>
    <tableColumn id="9" xr3:uid="{0F0122EB-AA24-4717-A54B-5766D199815F}" name="Fecha Siembra" dataDxfId="22">
      <calculatedColumnFormula>+IF(Siembras!H2="","",Siembras!H2)</calculatedColumnFormula>
    </tableColumn>
    <tableColumn id="10" xr3:uid="{2CB96F53-EA28-474B-9870-0649B89224D1}" name="Parcial" dataDxfId="21">
      <calculatedColumnFormula>+IF(Plantilla_Siembras[[#This Row],[Posición]]="","",IF(Siembras!I2="No","1","0"))</calculatedColumnFormula>
    </tableColumn>
    <tableColumn id="11" xr3:uid="{58613FF3-25B1-4F3F-BF16-ED04CC589B8D}" name="Tipo de Siembra" dataDxfId="20">
      <calculatedColumnFormula>IF(Plantilla_Siembras[[#This Row],[Posición]]="","","Produccion")</calculatedColumnFormula>
    </tableColumn>
    <tableColumn id="12" xr3:uid="{D82A3B55-5254-413B-BF0B-562020190CFA}" name="Fiesta|Año" dataDxfId="19">
      <calculatedColumnFormula>IF(Plantilla_Siembras[[#This Row],[Fecha Siembra]]="","",_xlfn.CONCAT(PROPER(TEXT(Plantilla_Siembras[[#This Row],[Fecha Siembra]]+(13*7),"mmmm")),"|",YEAR(Plantilla_Siembras[[#This Row],[Fecha Siembra]]+(13*7))))</calculatedColumnFormula>
    </tableColumn>
    <tableColumn id="13" xr3:uid="{55341606-725A-4360-A3D2-82234865F19D}" name="Notas" dataDxfId="18"/>
    <tableColumn id="14" xr3:uid="{9841FF74-056B-4DF2-875B-AC6B19D89949}" name="Propiedades de Siembras" dataDxfId="17"/>
    <tableColumn id="15" xr3:uid="{7D2C5083-852D-4146-9A69-B4E342E33A42}" name="Estado de cama" dataDxfId="16">
      <calculatedColumnFormula>IF(Plantilla_Siembras[[#This Row],[Posición]]="","","Vegetativo")</calculatedColumnFormula>
    </tableColumn>
    <tableColumn id="16" xr3:uid="{1D2E1A38-DE63-4867-85A1-AFC783D451C3}" name="Desinfección" dataDxfId="15">
      <calculatedColumnFormula>IF(Plantilla_Siembras[[#This Row],[Posición]]="","","No")</calculatedColumnFormula>
    </tableColumn>
    <tableColumn id="17" xr3:uid="{C8A83410-7CEA-4A82-9391-E287F340A01D}" name="Medios de cultivo" dataDxfId="14">
      <calculatedColumnFormula>IF(Plantilla_Siembras[[#This Row],[Posición]]="","","Suelo")</calculatedColumnFormula>
    </tableColumn>
    <tableColumn id="18" xr3:uid="{D0B32D9C-10FC-4942-A02D-7F9E69F5ECBC}" name="Origen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FC7D1F9-A1F4-4BCD-B179-A9560F28C841}" name="Info_Camas" displayName="Info_Camas" ref="A1:J1153" totalsRowShown="0">
  <autoFilter ref="A1:J1153" xr:uid="{128868FE-AEDB-4B11-A182-F4AF948E80F1}">
    <filterColumn colId="2">
      <filters>
        <filter val="04"/>
      </filters>
    </filterColumn>
  </autoFilter>
  <tableColumns count="10">
    <tableColumn id="14" xr3:uid="{5DE5624A-41CC-437A-B6D8-58E4F42DCBEB}" name="Concat" dataDxfId="12">
      <calculatedColumnFormula>+_xlfn.CONCAT(Info_Camas[[#This Row],[Bloque]],Info_Camas[[#This Row],[Lado]],Info_Camas[[#This Row],[Cama]])</calculatedColumnFormula>
    </tableColumn>
    <tableColumn id="1" xr3:uid="{15FB043C-75FA-4682-B93A-5FA3D2FF66F6}" name="Sede"/>
    <tableColumn id="2" xr3:uid="{2AC69807-211B-46B2-92C7-B2EEEB4995C0}" name="Bloque"/>
    <tableColumn id="3" xr3:uid="{1140D32F-E440-4344-9CE3-2CE427323B43}" name="Lado"/>
    <tableColumn id="4" xr3:uid="{043F6996-0E8D-4698-BF1E-2B5B798B1065}" name="Nave"/>
    <tableColumn id="5" xr3:uid="{783A7BA6-3C99-4161-B5A5-858113107F74}" name="Cama"/>
    <tableColumn id="6" xr3:uid="{9B1EAD8A-9F98-4623-BCCC-DB7168D75CB4}" name="Área"/>
    <tableColumn id="7" xr3:uid="{FCC4837B-AF97-4488-9A34-31C65BD1BA04}" name="Cortinas" dataDxfId="11"/>
    <tableColumn id="8" xr3:uid="{44512A12-3E83-4FEF-B19C-A38C0F48447C}" name="Lineas" dataDxfId="10"/>
    <tableColumn id="12" xr3:uid="{51F9C3FE-2854-4D81-A1E2-5BE02C017829}" name="Lineas/cortina" dataDxfId="9">
      <calculatedColumnFormula>IFERROR(Info_Camas[[#This Row],[Lineas]]/Info_Camas[[#This Row],[Cortinas]],"Pendiente")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145E7A-4B43-4D70-8423-B1E2CD70699D}" name="SemXDias" displayName="SemXDias" ref="E2:F916" totalsRowShown="0" headerRowDxfId="8" dataDxfId="6" headerRowBorderDxfId="7" tableBorderDxfId="5">
  <autoFilter ref="E2:F916" xr:uid="{ECF1FB83-396B-4C4C-A082-3FE8E3A6036F}"/>
  <tableColumns count="2">
    <tableColumn id="1" xr3:uid="{5CA4D69A-B81F-4ECC-8F0F-8AD6B920E4C1}" name="Dias" dataDxfId="4"/>
    <tableColumn id="2" xr3:uid="{FB4C1A4E-6AD7-42B7-A3AB-A4557F39292A}" name="Semanas" dataDxfId="3">
      <calculatedColumnFormula>_xlfn.CONCAT(YEAR(E3),TEXT(WEEKNUM(E3,1),"00"))*1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1189C1-62B0-49D0-819D-54DB8741F317}" name="Fecha_Sem10" displayName="Fecha_Sem10" ref="H2:I142" totalsRowShown="0">
  <autoFilter ref="H2:I142" xr:uid="{E2EF66D6-8886-4656-AEC1-C348E2E1170C}"/>
  <tableColumns count="2">
    <tableColumn id="1" xr3:uid="{D92BD068-0667-4CEE-A1A3-3CD7DF9ED1C1}" name="Dias_Sem" dataDxfId="2">
      <calculatedColumnFormula>+AP3+7</calculatedColumnFormula>
    </tableColumn>
    <tableColumn id="2" xr3:uid="{40142048-7586-4752-A864-82ADCF805168}" name="Semana" dataDxfId="1">
      <calculatedColumnFormula>_xlfn.CONCAT(YEAR(H3),TEXT(WEEKNUM(H3,1),"00"))*1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B6A721-FB6A-4F2B-A7F9-14EF53A87837}" name="Tabla10" displayName="Tabla10" ref="A2:C456">
  <autoFilter ref="A2:C456" xr:uid="{953BF728-7337-4518-B43B-71B8A4CF5A76}"/>
  <sortState xmlns:xlrd2="http://schemas.microsoft.com/office/spreadsheetml/2017/richdata2" ref="A3:C456">
    <sortCondition ref="C2:C456"/>
  </sortState>
  <tableColumns count="3">
    <tableColumn id="1" xr3:uid="{BA3F4BEA-B559-4836-8366-E5A73774B6DA}" name="Flor"/>
    <tableColumn id="2" xr3:uid="{98A60FB9-D234-43E7-9CBD-731421B0E5CB}" name="Color"/>
    <tableColumn id="3" xr3:uid="{878382E4-6CA1-44B1-A5A5-6BB188F412C2}" name="Varieda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06EA5D-5686-4A89-BD37-C5D6B17FB629}" name="Bloque_Cama" displayName="Bloque_Cama" ref="K2:O202" totalsRowShown="0">
  <autoFilter ref="K2:O202" xr:uid="{46CF5BBF-AA2F-46B2-AE09-FBEF5B7605D9}"/>
  <tableColumns count="5">
    <tableColumn id="1" xr3:uid="{BFF2CC45-772E-4054-9FB2-FBC3C6DA96D0}" name="Bloque"/>
    <tableColumn id="4" xr3:uid="{C7210809-26A7-41DA-A645-C5B4A0DF2878}" name="Lado"/>
    <tableColumn id="2" xr3:uid="{25236297-0E83-42D0-B7DD-F9D4891BDB95}" name="Cama" dataDxfId="0"/>
    <tableColumn id="3" xr3:uid="{A28978E4-6D15-4754-915C-BC24F7A6DB08}" name="Propiedades"/>
    <tableColumn id="5" xr3:uid="{C3314487-C35B-4163-8E1C-6E1AF600CBB6}" name="Cortin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D0B4D-8075-4D50-A92C-9B98E344D4B6}">
  <sheetPr published="0" codeName="Hoja20"/>
  <dimension ref="A1:O100"/>
  <sheetViews>
    <sheetView showGridLines="0" tabSelected="1" zoomScale="85" zoomScaleNormal="85" workbookViewId="0">
      <pane xSplit="14" ySplit="1" topLeftCell="O2" activePane="bottomRight" state="frozen"/>
      <selection pane="topRight" activeCell="O1" sqref="O1"/>
      <selection pane="bottomLeft" activeCell="A2" sqref="A2"/>
      <selection pane="bottomRight" activeCell="D9" sqref="D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0" defaultRowHeight="14" x14ac:dyDescent="0.35"/>
  <cols>
    <col min="1" max="1" width="11.375" style="31" customWidth="1"/>
    <col min="2" max="2" width="8" style="35" bestFit="1" customWidth="1"/>
    <col min="3" max="3" width="6.125" style="35" bestFit="1" customWidth="1"/>
    <col min="4" max="4" width="6.625" style="35" bestFit="1" customWidth="1"/>
    <col min="5" max="5" width="9.875" style="31" customWidth="1"/>
    <col min="6" max="6" width="19.375" style="35" customWidth="1"/>
    <col min="7" max="7" width="20.375" style="31" bestFit="1" customWidth="1"/>
    <col min="8" max="8" width="15.375" style="35" bestFit="1" customWidth="1"/>
    <col min="9" max="9" width="16.875" style="40" bestFit="1" customWidth="1"/>
    <col min="10" max="10" width="20.75" style="35" customWidth="1"/>
    <col min="11" max="11" width="14" style="35" customWidth="1"/>
    <col min="12" max="12" width="15.625" style="31" customWidth="1"/>
    <col min="13" max="13" width="15.875" style="31" bestFit="1" customWidth="1"/>
    <col min="14" max="14" width="18.375" style="51" customWidth="1"/>
    <col min="15" max="15" width="9" style="31" customWidth="1"/>
    <col min="16" max="16384" width="9" style="31" hidden="1"/>
  </cols>
  <sheetData>
    <row r="1" spans="1:13" x14ac:dyDescent="0.35">
      <c r="A1" s="31" t="s">
        <v>744</v>
      </c>
      <c r="B1" s="31" t="s">
        <v>7</v>
      </c>
      <c r="C1" s="31" t="s">
        <v>8</v>
      </c>
      <c r="D1" s="31" t="s">
        <v>9</v>
      </c>
      <c r="E1" s="32" t="s">
        <v>0</v>
      </c>
      <c r="F1" s="31" t="s">
        <v>736</v>
      </c>
      <c r="G1" s="32" t="s">
        <v>725</v>
      </c>
      <c r="H1" s="33" t="s">
        <v>726</v>
      </c>
      <c r="I1" s="31" t="s">
        <v>745</v>
      </c>
      <c r="J1" s="31" t="s">
        <v>738</v>
      </c>
      <c r="K1" s="31" t="s">
        <v>737</v>
      </c>
      <c r="L1" s="32" t="s">
        <v>6</v>
      </c>
      <c r="M1" s="31" t="s">
        <v>748</v>
      </c>
    </row>
    <row r="2" spans="1:13" x14ac:dyDescent="0.35">
      <c r="A2" s="31" t="str">
        <f>_xlfn.CONCAT(Tabla20[[#This Row],[Bloque]],Tabla20[[#This Row],[Lado]],Tabla20[[#This Row],[Cama]])</f>
        <v>04B029</v>
      </c>
      <c r="B2" s="34" t="s">
        <v>30</v>
      </c>
      <c r="C2" s="35" t="s">
        <v>21</v>
      </c>
      <c r="D2" s="34" t="s">
        <v>115</v>
      </c>
      <c r="E2" s="36" t="str">
        <f>IFERROR(_xlfn.XLOOKUP(Tabla20[[#This Row],[Variedades]],Tabla10[Variedad],Tabla10[Flor]),"")</f>
        <v>Cushion</v>
      </c>
      <c r="F2" s="35" t="s">
        <v>638</v>
      </c>
      <c r="G2" s="37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>4940</v>
      </c>
      <c r="H2" s="38">
        <v>46300</v>
      </c>
      <c r="I2" s="39" t="s">
        <v>746</v>
      </c>
      <c r="J2" s="35">
        <v>26</v>
      </c>
      <c r="K2" s="35">
        <v>9</v>
      </c>
      <c r="L2" s="31">
        <f>IFERROR(_xlfn.XLOOKUP(Tabla20[[#This Row],[Fecha Siembra]],SemXDias[Dias],SemXDias[Semanas]),"")</f>
        <v>202641</v>
      </c>
      <c r="M2" s="31" t="str">
        <f>+IFERROR(IF(AND(Tabla20[[#This Row],[Cama Completa]]="si",Tabla20[[#This Row],[Cortinas]]&lt;&gt;_xlfn.XLOOKUP(A2,Info_Camas[Concat],Info_Camas[Cortinas])),"Verifique que sea cama Completa","OK"),"")</f>
        <v>OK</v>
      </c>
    </row>
    <row r="3" spans="1:13" x14ac:dyDescent="0.35">
      <c r="A3" s="31" t="str">
        <f>_xlfn.CONCAT(Tabla20[[#This Row],[Bloque]],Tabla20[[#This Row],[Lado]],Tabla20[[#This Row],[Cama]])</f>
        <v>04B030</v>
      </c>
      <c r="B3" s="34" t="s">
        <v>30</v>
      </c>
      <c r="C3" s="35" t="s">
        <v>21</v>
      </c>
      <c r="D3" s="34" t="s">
        <v>118</v>
      </c>
      <c r="E3" s="36" t="str">
        <f>IFERROR(_xlfn.XLOOKUP(Tabla20[[#This Row],[Variedades]],Tabla10[Variedad],Tabla10[Flor]),"")</f>
        <v>Cushion</v>
      </c>
      <c r="F3" s="35" t="s">
        <v>638</v>
      </c>
      <c r="G3" s="37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>4940</v>
      </c>
      <c r="H3" s="38">
        <v>46300</v>
      </c>
      <c r="I3" s="39" t="s">
        <v>746</v>
      </c>
      <c r="J3" s="35">
        <v>26</v>
      </c>
      <c r="K3" s="35">
        <v>9</v>
      </c>
      <c r="L3" s="31">
        <f>IFERROR(_xlfn.XLOOKUP(Tabla20[[#This Row],[Fecha Siembra]],SemXDias[Dias],SemXDias[Semanas]),"")</f>
        <v>202641</v>
      </c>
      <c r="M3" s="31" t="str">
        <f>+IFERROR(IF(AND(Tabla20[[#This Row],[Cama Completa]]="si",Tabla20[[#This Row],[Cortinas]]&lt;&gt;_xlfn.XLOOKUP(A3,Info_Camas[Concat],Info_Camas[Cortinas])),"Verifique que sea cama Completa","OK"),"")</f>
        <v>OK</v>
      </c>
    </row>
    <row r="4" spans="1:13" x14ac:dyDescent="0.35">
      <c r="A4" s="31" t="str">
        <f>_xlfn.CONCAT(Tabla20[[#This Row],[Bloque]],Tabla20[[#This Row],[Lado]],Tabla20[[#This Row],[Cama]])</f>
        <v>04B031</v>
      </c>
      <c r="B4" s="34" t="s">
        <v>30</v>
      </c>
      <c r="C4" s="35" t="s">
        <v>21</v>
      </c>
      <c r="D4" s="34" t="s">
        <v>121</v>
      </c>
      <c r="E4" s="36" t="str">
        <f>IFERROR(_xlfn.XLOOKUP(Tabla20[[#This Row],[Variedades]],Tabla10[Variedad],Tabla10[Flor]),"")</f>
        <v>Cushion</v>
      </c>
      <c r="F4" s="35" t="s">
        <v>638</v>
      </c>
      <c r="G4" s="37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>4966</v>
      </c>
      <c r="H4" s="38">
        <v>46300</v>
      </c>
      <c r="I4" s="39" t="s">
        <v>746</v>
      </c>
      <c r="J4" s="35">
        <v>26</v>
      </c>
      <c r="K4" s="53">
        <v>9</v>
      </c>
      <c r="L4" s="31">
        <f>IFERROR(_xlfn.XLOOKUP(Tabla20[[#This Row],[Fecha Siembra]],SemXDias[Dias],SemXDias[Semanas]),"")</f>
        <v>202641</v>
      </c>
      <c r="M4" s="31" t="str">
        <f>+IFERROR(IF(AND(Tabla20[[#This Row],[Cama Completa]]="si",Tabla20[[#This Row],[Cortinas]]&lt;&gt;_xlfn.XLOOKUP(A4,Info_Camas[Concat],Info_Camas[Cortinas])),"Verifique que sea cama Completa","OK"),"")</f>
        <v>OK</v>
      </c>
    </row>
    <row r="5" spans="1:13" x14ac:dyDescent="0.35">
      <c r="A5" s="31" t="str">
        <f>_xlfn.CONCAT(Tabla20[[#This Row],[Bloque]],Tabla20[[#This Row],[Lado]],Tabla20[[#This Row],[Cama]])</f>
        <v>04B032</v>
      </c>
      <c r="B5" s="34" t="s">
        <v>30</v>
      </c>
      <c r="C5" s="35" t="s">
        <v>21</v>
      </c>
      <c r="D5" s="34" t="s">
        <v>124</v>
      </c>
      <c r="E5" s="36" t="str">
        <f>IFERROR(_xlfn.XLOOKUP(Tabla20[[#This Row],[Variedades]],Tabla10[Variedad],Tabla10[Flor]),"")</f>
        <v>Cushion</v>
      </c>
      <c r="F5" s="35" t="s">
        <v>638</v>
      </c>
      <c r="G5" s="37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>4472</v>
      </c>
      <c r="H5" s="38">
        <v>46300</v>
      </c>
      <c r="I5" s="39" t="s">
        <v>746</v>
      </c>
      <c r="J5" s="35">
        <v>26</v>
      </c>
      <c r="K5" s="53">
        <v>9</v>
      </c>
      <c r="L5" s="31">
        <f>IFERROR(_xlfn.XLOOKUP(Tabla20[[#This Row],[Fecha Siembra]],SemXDias[Dias],SemXDias[Semanas]),"")</f>
        <v>202641</v>
      </c>
      <c r="M5" s="31" t="str">
        <f>+IFERROR(IF(AND(Tabla20[[#This Row],[Cama Completa]]="si",Tabla20[[#This Row],[Cortinas]]&lt;&gt;_xlfn.XLOOKUP(A5,Info_Camas[Concat],Info_Camas[Cortinas])),"Verifique que sea cama Completa","OK"),"")</f>
        <v>OK</v>
      </c>
    </row>
    <row r="6" spans="1:13" x14ac:dyDescent="0.35">
      <c r="A6" s="31" t="str">
        <f>_xlfn.CONCAT(Tabla20[[#This Row],[Bloque]],Tabla20[[#This Row],[Lado]],Tabla20[[#This Row],[Cama]])</f>
        <v>04B033</v>
      </c>
      <c r="B6" s="34" t="s">
        <v>30</v>
      </c>
      <c r="C6" s="35" t="s">
        <v>21</v>
      </c>
      <c r="D6" s="34" t="s">
        <v>126</v>
      </c>
      <c r="E6" s="36" t="str">
        <f>IFERROR(_xlfn.XLOOKUP(Tabla20[[#This Row],[Variedades]],Tabla10[Variedad],Tabla10[Flor]),"")</f>
        <v>Cushion</v>
      </c>
      <c r="F6" s="35" t="s">
        <v>638</v>
      </c>
      <c r="G6" s="37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>4602</v>
      </c>
      <c r="H6" s="38">
        <v>46300</v>
      </c>
      <c r="I6" s="39" t="s">
        <v>746</v>
      </c>
      <c r="J6" s="35">
        <v>26</v>
      </c>
      <c r="K6" s="53">
        <v>9</v>
      </c>
      <c r="L6" s="31">
        <f>IFERROR(_xlfn.XLOOKUP(Tabla20[[#This Row],[Fecha Siembra]],SemXDias[Dias],SemXDias[Semanas]),"")</f>
        <v>202641</v>
      </c>
      <c r="M6" s="31" t="str">
        <f>+IFERROR(IF(AND(Tabla20[[#This Row],[Cama Completa]]="si",Tabla20[[#This Row],[Cortinas]]&lt;&gt;_xlfn.XLOOKUP(A6,Info_Camas[Concat],Info_Camas[Cortinas])),"Verifique que sea cama Completa","OK"),"")</f>
        <v>OK</v>
      </c>
    </row>
    <row r="7" spans="1:13" x14ac:dyDescent="0.35">
      <c r="A7" s="31" t="str">
        <f>_xlfn.CONCAT(Tabla20[[#This Row],[Bloque]],Tabla20[[#This Row],[Lado]],Tabla20[[#This Row],[Cama]])</f>
        <v>04B034</v>
      </c>
      <c r="B7" s="34" t="s">
        <v>30</v>
      </c>
      <c r="C7" s="35" t="s">
        <v>21</v>
      </c>
      <c r="D7" s="34" t="s">
        <v>128</v>
      </c>
      <c r="E7" s="36" t="str">
        <f>IFERROR(_xlfn.XLOOKUP(Tabla20[[#This Row],[Variedades]],Tabla10[Variedad],Tabla10[Flor]),"")</f>
        <v>Cushion</v>
      </c>
      <c r="F7" s="35" t="s">
        <v>638</v>
      </c>
      <c r="G7" s="37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>4576</v>
      </c>
      <c r="H7" s="38">
        <v>46300</v>
      </c>
      <c r="I7" s="39" t="s">
        <v>746</v>
      </c>
      <c r="J7" s="35">
        <v>26</v>
      </c>
      <c r="K7" s="53">
        <v>9</v>
      </c>
      <c r="L7" s="31">
        <f>IFERROR(_xlfn.XLOOKUP(Tabla20[[#This Row],[Fecha Siembra]],SemXDias[Dias],SemXDias[Semanas]),"")</f>
        <v>202641</v>
      </c>
      <c r="M7" s="31" t="str">
        <f>+IFERROR(IF(AND(Tabla20[[#This Row],[Cama Completa]]="si",Tabla20[[#This Row],[Cortinas]]&lt;&gt;_xlfn.XLOOKUP(A7,Info_Camas[Concat],Info_Camas[Cortinas])),"Verifique que sea cama Completa","OK"),"")</f>
        <v>OK</v>
      </c>
    </row>
    <row r="8" spans="1:13" x14ac:dyDescent="0.35">
      <c r="A8" s="31" t="str">
        <f>_xlfn.CONCAT(Tabla20[[#This Row],[Bloque]],Tabla20[[#This Row],[Lado]],Tabla20[[#This Row],[Cama]])</f>
        <v>04B035</v>
      </c>
      <c r="B8" s="34" t="s">
        <v>30</v>
      </c>
      <c r="C8" s="35" t="s">
        <v>21</v>
      </c>
      <c r="D8" s="34" t="s">
        <v>130</v>
      </c>
      <c r="E8" s="36" t="str">
        <f>IFERROR(_xlfn.XLOOKUP(Tabla20[[#This Row],[Variedades]],Tabla10[Variedad],Tabla10[Flor]),"")</f>
        <v>Cushion</v>
      </c>
      <c r="F8" s="35" t="s">
        <v>638</v>
      </c>
      <c r="G8" s="37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>4602</v>
      </c>
      <c r="H8" s="38">
        <v>46300</v>
      </c>
      <c r="I8" s="39" t="s">
        <v>746</v>
      </c>
      <c r="J8" s="35">
        <v>26</v>
      </c>
      <c r="K8" s="53">
        <v>9</v>
      </c>
      <c r="L8" s="31">
        <f>IFERROR(_xlfn.XLOOKUP(Tabla20[[#This Row],[Fecha Siembra]],SemXDias[Dias],SemXDias[Semanas]),"")</f>
        <v>202641</v>
      </c>
      <c r="M8" s="31" t="str">
        <f>+IFERROR(IF(AND(Tabla20[[#This Row],[Cama Completa]]="si",Tabla20[[#This Row],[Cortinas]]&lt;&gt;_xlfn.XLOOKUP(A8,Info_Camas[Concat],Info_Camas[Cortinas])),"Verifique que sea cama Completa","OK"),"")</f>
        <v>OK</v>
      </c>
    </row>
    <row r="9" spans="1:13" x14ac:dyDescent="0.35">
      <c r="A9" s="31" t="str">
        <f>_xlfn.CONCAT(Tabla20[[#This Row],[Bloque]],Tabla20[[#This Row],[Lado]],Tabla20[[#This Row],[Cama]])</f>
        <v/>
      </c>
      <c r="B9" s="34"/>
      <c r="D9" s="34"/>
      <c r="E9" s="36" t="str">
        <f>IFERROR(_xlfn.XLOOKUP(Tabla20[[#This Row],[Variedades]],Tabla10[Variedad],Tabla10[Flor]),"")</f>
        <v/>
      </c>
      <c r="G9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9" s="38"/>
      <c r="I9" s="39"/>
      <c r="K9" s="53"/>
      <c r="L9" s="31" t="str">
        <f>IFERROR(_xlfn.XLOOKUP(Tabla20[[#This Row],[Fecha Siembra]],SemXDias[Dias],SemXDias[Semanas]),"")</f>
        <v/>
      </c>
      <c r="M9" s="31" t="str">
        <f>+IFERROR(IF(AND(Tabla20[[#This Row],[Cama Completa]]="si",Tabla20[[#This Row],[Cortinas]]&lt;&gt;_xlfn.XLOOKUP(A9,Info_Camas[Concat],Info_Camas[Cortinas])),"Verifique que sea cama Completa","OK"),"")</f>
        <v/>
      </c>
    </row>
    <row r="10" spans="1:13" x14ac:dyDescent="0.35">
      <c r="A10" s="31" t="str">
        <f>_xlfn.CONCAT(Tabla20[[#This Row],[Bloque]],Tabla20[[#This Row],[Lado]],Tabla20[[#This Row],[Cama]])</f>
        <v/>
      </c>
      <c r="B10" s="34"/>
      <c r="D10" s="34"/>
      <c r="E10" s="36" t="str">
        <f>IFERROR(_xlfn.XLOOKUP(Tabla20[[#This Row],[Variedades]],Tabla10[Variedad],Tabla10[Flor]),"")</f>
        <v/>
      </c>
      <c r="G10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10" s="38"/>
      <c r="I10" s="39"/>
      <c r="K10" s="53"/>
      <c r="L10" s="31" t="str">
        <f>IFERROR(_xlfn.XLOOKUP(Tabla20[[#This Row],[Fecha Siembra]],SemXDias[Dias],SemXDias[Semanas]),"")</f>
        <v/>
      </c>
      <c r="M10" s="31" t="str">
        <f>+IFERROR(IF(AND(Tabla20[[#This Row],[Cama Completa]]="si",Tabla20[[#This Row],[Cortinas]]&lt;&gt;_xlfn.XLOOKUP(A10,Info_Camas[Concat],Info_Camas[Cortinas])),"Verifique que sea cama Completa","OK"),"")</f>
        <v/>
      </c>
    </row>
    <row r="11" spans="1:13" x14ac:dyDescent="0.35">
      <c r="A11" s="31" t="str">
        <f>_xlfn.CONCAT(Tabla20[[#This Row],[Bloque]],Tabla20[[#This Row],[Lado]],Tabla20[[#This Row],[Cama]])</f>
        <v/>
      </c>
      <c r="B11" s="34"/>
      <c r="D11" s="34"/>
      <c r="E11" s="36" t="str">
        <f>IFERROR(_xlfn.XLOOKUP(Tabla20[[#This Row],[Variedades]],Tabla10[Variedad],Tabla10[Flor]),"")</f>
        <v/>
      </c>
      <c r="G11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11" s="38"/>
      <c r="I11" s="39"/>
      <c r="K11" s="53"/>
      <c r="L11" s="31" t="str">
        <f>IFERROR(_xlfn.XLOOKUP(Tabla20[[#This Row],[Fecha Siembra]],SemXDias[Dias],SemXDias[Semanas]),"")</f>
        <v/>
      </c>
      <c r="M11" s="31" t="str">
        <f>+IFERROR(IF(AND(Tabla20[[#This Row],[Cama Completa]]="si",Tabla20[[#This Row],[Cortinas]]&lt;&gt;_xlfn.XLOOKUP(A11,Info_Camas[Concat],Info_Camas[Cortinas])),"Verifique que sea cama Completa","OK"),"")</f>
        <v/>
      </c>
    </row>
    <row r="12" spans="1:13" x14ac:dyDescent="0.35">
      <c r="A12" s="31" t="str">
        <f>_xlfn.CONCAT(Tabla20[[#This Row],[Bloque]],Tabla20[[#This Row],[Lado]],Tabla20[[#This Row],[Cama]])</f>
        <v/>
      </c>
      <c r="B12" s="34"/>
      <c r="D12" s="34"/>
      <c r="E12" s="36" t="str">
        <f>IFERROR(_xlfn.XLOOKUP(Tabla20[[#This Row],[Variedades]],Tabla10[Variedad],Tabla10[Flor]),"")</f>
        <v/>
      </c>
      <c r="G12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12" s="38"/>
      <c r="I12" s="39"/>
      <c r="L12" s="31" t="str">
        <f>IFERROR(_xlfn.XLOOKUP(Tabla20[[#This Row],[Fecha Siembra]],SemXDias[Dias],SemXDias[Semanas]),"")</f>
        <v/>
      </c>
      <c r="M12" s="31" t="str">
        <f>+IFERROR(IF(AND(Tabla20[[#This Row],[Cama Completa]]="si",Tabla20[[#This Row],[Cortinas]]&lt;&gt;_xlfn.XLOOKUP(A12,Info_Camas[Concat],Info_Camas[Cortinas])),"Verifique que sea cama Completa","OK"),"")</f>
        <v/>
      </c>
    </row>
    <row r="13" spans="1:13" x14ac:dyDescent="0.35">
      <c r="A13" s="31" t="str">
        <f>_xlfn.CONCAT(Tabla20[[#This Row],[Bloque]],Tabla20[[#This Row],[Lado]],Tabla20[[#This Row],[Cama]])</f>
        <v/>
      </c>
      <c r="B13" s="34"/>
      <c r="D13" s="34"/>
      <c r="E13" s="36" t="str">
        <f>IFERROR(_xlfn.XLOOKUP(Tabla20[[#This Row],[Variedades]],Tabla10[Variedad],Tabla10[Flor]),"")</f>
        <v/>
      </c>
      <c r="G13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13" s="38"/>
      <c r="I13" s="39"/>
      <c r="L13" s="31" t="str">
        <f>IFERROR(_xlfn.XLOOKUP(Tabla20[[#This Row],[Fecha Siembra]],SemXDias[Dias],SemXDias[Semanas]),"")</f>
        <v/>
      </c>
      <c r="M13" s="31" t="str">
        <f>+IFERROR(IF(AND(Tabla20[[#This Row],[Cama Completa]]="si",Tabla20[[#This Row],[Cortinas]]&lt;&gt;_xlfn.XLOOKUP(A13,Info_Camas[Concat],Info_Camas[Cortinas])),"Verifique que sea cama Completa","OK"),"")</f>
        <v/>
      </c>
    </row>
    <row r="14" spans="1:13" x14ac:dyDescent="0.35">
      <c r="A14" s="31" t="str">
        <f>_xlfn.CONCAT(Tabla20[[#This Row],[Bloque]],Tabla20[[#This Row],[Lado]],Tabla20[[#This Row],[Cama]])</f>
        <v/>
      </c>
      <c r="B14" s="34"/>
      <c r="D14" s="34"/>
      <c r="E14" s="36" t="str">
        <f>IFERROR(_xlfn.XLOOKUP(Tabla20[[#This Row],[Variedades]],Tabla10[Variedad],Tabla10[Flor]),"")</f>
        <v/>
      </c>
      <c r="G14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14" s="38"/>
      <c r="I14" s="39"/>
      <c r="L14" s="31" t="str">
        <f>IFERROR(_xlfn.XLOOKUP(Tabla20[[#This Row],[Fecha Siembra]],SemXDias[Dias],SemXDias[Semanas]),"")</f>
        <v/>
      </c>
      <c r="M14" s="31" t="str">
        <f>+IFERROR(IF(AND(Tabla20[[#This Row],[Cama Completa]]="si",Tabla20[[#This Row],[Cortinas]]&lt;&gt;_xlfn.XLOOKUP(A14,Info_Camas[Concat],Info_Camas[Cortinas])),"Verifique que sea cama Completa","OK"),"")</f>
        <v/>
      </c>
    </row>
    <row r="15" spans="1:13" x14ac:dyDescent="0.35">
      <c r="A15" s="31" t="str">
        <f>_xlfn.CONCAT(Tabla20[[#This Row],[Bloque]],Tabla20[[#This Row],[Lado]],Tabla20[[#This Row],[Cama]])</f>
        <v/>
      </c>
      <c r="B15" s="34"/>
      <c r="D15" s="34"/>
      <c r="E15" s="36" t="str">
        <f>IFERROR(_xlfn.XLOOKUP(Tabla20[[#This Row],[Variedades]],Tabla10[Variedad],Tabla10[Flor]),"")</f>
        <v/>
      </c>
      <c r="G15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15" s="38"/>
      <c r="I15" s="39"/>
      <c r="L15" s="31" t="str">
        <f>IFERROR(_xlfn.XLOOKUP(Tabla20[[#This Row],[Fecha Siembra]],SemXDias[Dias],SemXDias[Semanas]),"")</f>
        <v/>
      </c>
      <c r="M15" s="31" t="str">
        <f>+IFERROR(IF(AND(Tabla20[[#This Row],[Cama Completa]]="si",Tabla20[[#This Row],[Cortinas]]&lt;&gt;_xlfn.XLOOKUP(A15,Info_Camas[Concat],Info_Camas[Cortinas])),"Verifique que sea cama Completa","OK"),"")</f>
        <v/>
      </c>
    </row>
    <row r="16" spans="1:13" x14ac:dyDescent="0.35">
      <c r="A16" s="31" t="str">
        <f>_xlfn.CONCAT(Tabla20[[#This Row],[Bloque]],Tabla20[[#This Row],[Lado]],Tabla20[[#This Row],[Cama]])</f>
        <v/>
      </c>
      <c r="B16" s="34"/>
      <c r="D16" s="34"/>
      <c r="E16" s="36" t="str">
        <f>IFERROR(_xlfn.XLOOKUP(Tabla20[[#This Row],[Variedades]],Tabla10[Variedad],Tabla10[Flor]),"")</f>
        <v/>
      </c>
      <c r="G16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16" s="38"/>
      <c r="I16" s="39"/>
      <c r="L16" s="31" t="str">
        <f>IFERROR(_xlfn.XLOOKUP(Tabla20[[#This Row],[Fecha Siembra]],SemXDias[Dias],SemXDias[Semanas]),"")</f>
        <v/>
      </c>
      <c r="M16" s="31" t="str">
        <f>+IFERROR(IF(AND(Tabla20[[#This Row],[Cama Completa]]="si",Tabla20[[#This Row],[Cortinas]]&lt;&gt;_xlfn.XLOOKUP(A16,Info_Camas[Concat],Info_Camas[Cortinas])),"Verifique que sea cama Completa","OK"),"")</f>
        <v/>
      </c>
    </row>
    <row r="17" spans="1:13" x14ac:dyDescent="0.35">
      <c r="A17" s="31" t="str">
        <f>_xlfn.CONCAT(Tabla20[[#This Row],[Bloque]],Tabla20[[#This Row],[Lado]],Tabla20[[#This Row],[Cama]])</f>
        <v/>
      </c>
      <c r="B17" s="34"/>
      <c r="D17" s="34"/>
      <c r="E17" s="36" t="str">
        <f>IFERROR(_xlfn.XLOOKUP(Tabla20[[#This Row],[Variedades]],Tabla10[Variedad],Tabla10[Flor]),"")</f>
        <v/>
      </c>
      <c r="G17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17" s="38"/>
      <c r="I17" s="39"/>
      <c r="L17" s="31" t="str">
        <f>IFERROR(_xlfn.XLOOKUP(Tabla20[[#This Row],[Fecha Siembra]],SemXDias[Dias],SemXDias[Semanas]),"")</f>
        <v/>
      </c>
      <c r="M17" s="31" t="str">
        <f>+IFERROR(IF(AND(Tabla20[[#This Row],[Cama Completa]]="si",Tabla20[[#This Row],[Cortinas]]&lt;&gt;_xlfn.XLOOKUP(A17,Info_Camas[Concat],Info_Camas[Cortinas])),"Verifique que sea cama Completa","OK"),"")</f>
        <v/>
      </c>
    </row>
    <row r="18" spans="1:13" x14ac:dyDescent="0.35">
      <c r="A18" s="31" t="str">
        <f>_xlfn.CONCAT(Tabla20[[#This Row],[Bloque]],Tabla20[[#This Row],[Lado]],Tabla20[[#This Row],[Cama]])</f>
        <v/>
      </c>
      <c r="B18" s="34"/>
      <c r="D18" s="34"/>
      <c r="E18" s="36" t="str">
        <f>IFERROR(_xlfn.XLOOKUP(Tabla20[[#This Row],[Variedades]],Tabla10[Variedad],Tabla10[Flor]),"")</f>
        <v/>
      </c>
      <c r="G18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18" s="38"/>
      <c r="I18" s="39"/>
      <c r="L18" s="31" t="str">
        <f>IFERROR(_xlfn.XLOOKUP(Tabla20[[#This Row],[Fecha Siembra]],SemXDias[Dias],SemXDias[Semanas]),"")</f>
        <v/>
      </c>
      <c r="M18" s="31" t="str">
        <f>+IFERROR(IF(AND(Tabla20[[#This Row],[Cama Completa]]="si",Tabla20[[#This Row],[Cortinas]]&lt;&gt;_xlfn.XLOOKUP(A18,Info_Camas[Concat],Info_Camas[Cortinas])),"Verifique que sea cama Completa","OK"),"")</f>
        <v/>
      </c>
    </row>
    <row r="19" spans="1:13" x14ac:dyDescent="0.35">
      <c r="A19" s="31" t="str">
        <f>_xlfn.CONCAT(Tabla20[[#This Row],[Bloque]],Tabla20[[#This Row],[Lado]],Tabla20[[#This Row],[Cama]])</f>
        <v/>
      </c>
      <c r="B19" s="34"/>
      <c r="D19" s="34"/>
      <c r="E19" s="36" t="str">
        <f>IFERROR(_xlfn.XLOOKUP(Tabla20[[#This Row],[Variedades]],Tabla10[Variedad],Tabla10[Flor]),"")</f>
        <v/>
      </c>
      <c r="G19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19" s="38"/>
      <c r="I19" s="39"/>
      <c r="L19" s="31" t="str">
        <f>IFERROR(_xlfn.XLOOKUP(Tabla20[[#This Row],[Fecha Siembra]],SemXDias[Dias],SemXDias[Semanas]),"")</f>
        <v/>
      </c>
      <c r="M19" s="31" t="str">
        <f>+IFERROR(IF(AND(Tabla20[[#This Row],[Cama Completa]]="si",Tabla20[[#This Row],[Cortinas]]&lt;&gt;_xlfn.XLOOKUP(A19,Info_Camas[Concat],Info_Camas[Cortinas])),"Verifique que sea cama Completa","OK"),"")</f>
        <v/>
      </c>
    </row>
    <row r="20" spans="1:13" x14ac:dyDescent="0.35">
      <c r="A20" s="31" t="str">
        <f>_xlfn.CONCAT(Tabla20[[#This Row],[Bloque]],Tabla20[[#This Row],[Lado]],Tabla20[[#This Row],[Cama]])</f>
        <v/>
      </c>
      <c r="B20" s="34"/>
      <c r="D20" s="34"/>
      <c r="E20" s="36" t="str">
        <f>IFERROR(_xlfn.XLOOKUP(Tabla20[[#This Row],[Variedades]],Tabla10[Variedad],Tabla10[Flor]),"")</f>
        <v/>
      </c>
      <c r="G20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20" s="38"/>
      <c r="I20" s="39"/>
      <c r="L20" s="31" t="str">
        <f>IFERROR(_xlfn.XLOOKUP(Tabla20[[#This Row],[Fecha Siembra]],SemXDias[Dias],SemXDias[Semanas]),"")</f>
        <v/>
      </c>
      <c r="M20" s="31" t="str">
        <f>+IFERROR(IF(AND(Tabla20[[#This Row],[Cama Completa]]="si",Tabla20[[#This Row],[Cortinas]]&lt;&gt;_xlfn.XLOOKUP(A20,Info_Camas[Concat],Info_Camas[Cortinas])),"Verifique que sea cama Completa","OK"),"")</f>
        <v/>
      </c>
    </row>
    <row r="21" spans="1:13" x14ac:dyDescent="0.35">
      <c r="A21" s="31" t="str">
        <f>_xlfn.CONCAT(Tabla20[[#This Row],[Bloque]],Tabla20[[#This Row],[Lado]],Tabla20[[#This Row],[Cama]])</f>
        <v/>
      </c>
      <c r="B21" s="34"/>
      <c r="D21" s="34"/>
      <c r="E21" s="36" t="str">
        <f>IFERROR(_xlfn.XLOOKUP(Tabla20[[#This Row],[Variedades]],Tabla10[Variedad],Tabla10[Flor]),"")</f>
        <v/>
      </c>
      <c r="G21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21" s="38"/>
      <c r="I21" s="39"/>
      <c r="L21" s="31" t="str">
        <f>IFERROR(_xlfn.XLOOKUP(Tabla20[[#This Row],[Fecha Siembra]],SemXDias[Dias],SemXDias[Semanas]),"")</f>
        <v/>
      </c>
      <c r="M21" s="31" t="str">
        <f>+IFERROR(IF(AND(Tabla20[[#This Row],[Cama Completa]]="si",Tabla20[[#This Row],[Cortinas]]&lt;&gt;_xlfn.XLOOKUP(A21,Info_Camas[Concat],Info_Camas[Cortinas])),"Verifique que sea cama Completa","OK"),"")</f>
        <v/>
      </c>
    </row>
    <row r="22" spans="1:13" x14ac:dyDescent="0.35">
      <c r="A22" s="31" t="str">
        <f>_xlfn.CONCAT(Tabla20[[#This Row],[Bloque]],Tabla20[[#This Row],[Lado]],Tabla20[[#This Row],[Cama]])</f>
        <v/>
      </c>
      <c r="B22" s="34"/>
      <c r="D22" s="34"/>
      <c r="E22" s="36" t="str">
        <f>IFERROR(_xlfn.XLOOKUP(Tabla20[[#This Row],[Variedades]],Tabla10[Variedad],Tabla10[Flor]),"")</f>
        <v/>
      </c>
      <c r="G22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22" s="38"/>
      <c r="I22" s="39"/>
      <c r="L22" s="31" t="str">
        <f>IFERROR(_xlfn.XLOOKUP(Tabla20[[#This Row],[Fecha Siembra]],SemXDias[Dias],SemXDias[Semanas]),"")</f>
        <v/>
      </c>
      <c r="M22" s="31" t="str">
        <f>+IFERROR(IF(AND(Tabla20[[#This Row],[Cama Completa]]="si",Tabla20[[#This Row],[Cortinas]]&lt;&gt;_xlfn.XLOOKUP(A22,Info_Camas[Concat],Info_Camas[Cortinas])),"Verifique que sea cama Completa","OK"),"")</f>
        <v/>
      </c>
    </row>
    <row r="23" spans="1:13" x14ac:dyDescent="0.35">
      <c r="A23" s="31" t="str">
        <f>_xlfn.CONCAT(Tabla20[[#This Row],[Bloque]],Tabla20[[#This Row],[Lado]],Tabla20[[#This Row],[Cama]])</f>
        <v/>
      </c>
      <c r="B23" s="34"/>
      <c r="D23" s="34"/>
      <c r="E23" s="36" t="str">
        <f>IFERROR(_xlfn.XLOOKUP(Tabla20[[#This Row],[Variedades]],Tabla10[Variedad],Tabla10[Flor]),"")</f>
        <v/>
      </c>
      <c r="G23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23" s="38"/>
      <c r="I23" s="39"/>
      <c r="L23" s="31" t="str">
        <f>IFERROR(_xlfn.XLOOKUP(Tabla20[[#This Row],[Fecha Siembra]],SemXDias[Dias],SemXDias[Semanas]),"")</f>
        <v/>
      </c>
      <c r="M23" s="31" t="str">
        <f>+IFERROR(IF(AND(Tabla20[[#This Row],[Cama Completa]]="si",Tabla20[[#This Row],[Cortinas]]&lt;&gt;_xlfn.XLOOKUP(A23,Info_Camas[Concat],Info_Camas[Cortinas])),"Verifique que sea cama Completa","OK"),"")</f>
        <v/>
      </c>
    </row>
    <row r="24" spans="1:13" x14ac:dyDescent="0.35">
      <c r="A24" s="31" t="str">
        <f>_xlfn.CONCAT(Tabla20[[#This Row],[Bloque]],Tabla20[[#This Row],[Lado]],Tabla20[[#This Row],[Cama]])</f>
        <v/>
      </c>
      <c r="B24" s="34"/>
      <c r="D24" s="34"/>
      <c r="E24" s="36" t="str">
        <f>IFERROR(_xlfn.XLOOKUP(Tabla20[[#This Row],[Variedades]],Tabla10[Variedad],Tabla10[Flor]),"")</f>
        <v/>
      </c>
      <c r="G24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24" s="38"/>
      <c r="I24" s="39"/>
      <c r="K24" s="53"/>
      <c r="L24" s="31" t="str">
        <f>IFERROR(_xlfn.XLOOKUP(Tabla20[[#This Row],[Fecha Siembra]],SemXDias[Dias],SemXDias[Semanas]),"")</f>
        <v/>
      </c>
      <c r="M24" s="31" t="str">
        <f>+IFERROR(IF(AND(Tabla20[[#This Row],[Cama Completa]]="si",Tabla20[[#This Row],[Cortinas]]&lt;&gt;_xlfn.XLOOKUP(A24,Info_Camas[Concat],Info_Camas[Cortinas])),"Verifique que sea cama Completa","OK"),"")</f>
        <v/>
      </c>
    </row>
    <row r="25" spans="1:13" x14ac:dyDescent="0.35">
      <c r="A25" s="31" t="str">
        <f>_xlfn.CONCAT(Tabla20[[#This Row],[Bloque]],Tabla20[[#This Row],[Lado]],Tabla20[[#This Row],[Cama]])</f>
        <v/>
      </c>
      <c r="B25" s="34"/>
      <c r="D25" s="34"/>
      <c r="E25" s="36" t="str">
        <f>IFERROR(_xlfn.XLOOKUP(Tabla20[[#This Row],[Variedades]],Tabla10[Variedad],Tabla10[Flor]),"")</f>
        <v/>
      </c>
      <c r="G25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25" s="38"/>
      <c r="I25" s="39"/>
      <c r="K25" s="53"/>
      <c r="L25" s="31" t="str">
        <f>IFERROR(_xlfn.XLOOKUP(Tabla20[[#This Row],[Fecha Siembra]],SemXDias[Dias],SemXDias[Semanas]),"")</f>
        <v/>
      </c>
      <c r="M25" s="31" t="str">
        <f>+IFERROR(IF(AND(Tabla20[[#This Row],[Cama Completa]]="si",Tabla20[[#This Row],[Cortinas]]&lt;&gt;_xlfn.XLOOKUP(A25,Info_Camas[Concat],Info_Camas[Cortinas])),"Verifique que sea cama Completa","OK"),"")</f>
        <v/>
      </c>
    </row>
    <row r="26" spans="1:13" x14ac:dyDescent="0.35">
      <c r="A26" s="31" t="str">
        <f>_xlfn.CONCAT(Tabla20[[#This Row],[Bloque]],Tabla20[[#This Row],[Lado]],Tabla20[[#This Row],[Cama]])</f>
        <v/>
      </c>
      <c r="B26" s="34"/>
      <c r="D26" s="34"/>
      <c r="E26" s="36" t="str">
        <f>IFERROR(_xlfn.XLOOKUP(Tabla20[[#This Row],[Variedades]],Tabla10[Variedad],Tabla10[Flor]),"")</f>
        <v/>
      </c>
      <c r="G26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26" s="38"/>
      <c r="I26" s="39"/>
      <c r="K26" s="53"/>
      <c r="L26" s="31" t="str">
        <f>IFERROR(_xlfn.XLOOKUP(Tabla20[[#This Row],[Fecha Siembra]],SemXDias[Dias],SemXDias[Semanas]),"")</f>
        <v/>
      </c>
      <c r="M26" s="31" t="str">
        <f>+IFERROR(IF(AND(Tabla20[[#This Row],[Cama Completa]]="si",Tabla20[[#This Row],[Cortinas]]&lt;&gt;_xlfn.XLOOKUP(A26,Info_Camas[Concat],Info_Camas[Cortinas])),"Verifique que sea cama Completa","OK"),"")</f>
        <v/>
      </c>
    </row>
    <row r="27" spans="1:13" x14ac:dyDescent="0.35">
      <c r="A27" s="31" t="str">
        <f>_xlfn.CONCAT(Tabla20[[#This Row],[Bloque]],Tabla20[[#This Row],[Lado]],Tabla20[[#This Row],[Cama]])</f>
        <v/>
      </c>
      <c r="B27" s="34"/>
      <c r="D27" s="34"/>
      <c r="E27" s="36" t="str">
        <f>IFERROR(_xlfn.XLOOKUP(Tabla20[[#This Row],[Variedades]],Tabla10[Variedad],Tabla10[Flor]),"")</f>
        <v/>
      </c>
      <c r="G27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27" s="38"/>
      <c r="I27" s="39"/>
      <c r="K27" s="53"/>
      <c r="L27" s="31" t="str">
        <f>IFERROR(_xlfn.XLOOKUP(Tabla20[[#This Row],[Fecha Siembra]],SemXDias[Dias],SemXDias[Semanas]),"")</f>
        <v/>
      </c>
      <c r="M27" s="31" t="str">
        <f>+IFERROR(IF(AND(Tabla20[[#This Row],[Cama Completa]]="si",Tabla20[[#This Row],[Cortinas]]&lt;&gt;_xlfn.XLOOKUP(A27,Info_Camas[Concat],Info_Camas[Cortinas])),"Verifique que sea cama Completa","OK"),"")</f>
        <v/>
      </c>
    </row>
    <row r="28" spans="1:13" x14ac:dyDescent="0.35">
      <c r="A28" s="31" t="str">
        <f>_xlfn.CONCAT(Tabla20[[#This Row],[Bloque]],Tabla20[[#This Row],[Lado]],Tabla20[[#This Row],[Cama]])</f>
        <v/>
      </c>
      <c r="B28" s="34"/>
      <c r="D28" s="34"/>
      <c r="E28" s="36" t="str">
        <f>IFERROR(_xlfn.XLOOKUP(Tabla20[[#This Row],[Variedades]],Tabla10[Variedad],Tabla10[Flor]),"")</f>
        <v/>
      </c>
      <c r="G28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28" s="38"/>
      <c r="I28" s="39"/>
      <c r="K28" s="53"/>
      <c r="L28" s="31" t="str">
        <f>IFERROR(_xlfn.XLOOKUP(Tabla20[[#This Row],[Fecha Siembra]],SemXDias[Dias],SemXDias[Semanas]),"")</f>
        <v/>
      </c>
      <c r="M28" s="31" t="str">
        <f>+IFERROR(IF(AND(Tabla20[[#This Row],[Cama Completa]]="si",Tabla20[[#This Row],[Cortinas]]&lt;&gt;_xlfn.XLOOKUP(A28,Info_Camas[Concat],Info_Camas[Cortinas])),"Verifique que sea cama Completa","OK"),"")</f>
        <v/>
      </c>
    </row>
    <row r="29" spans="1:13" x14ac:dyDescent="0.35">
      <c r="A29" s="31" t="str">
        <f>_xlfn.CONCAT(Tabla20[[#This Row],[Bloque]],Tabla20[[#This Row],[Lado]],Tabla20[[#This Row],[Cama]])</f>
        <v/>
      </c>
      <c r="B29" s="34"/>
      <c r="D29" s="34"/>
      <c r="E29" s="36" t="str">
        <f>IFERROR(_xlfn.XLOOKUP(Tabla20[[#This Row],[Variedades]],Tabla10[Variedad],Tabla10[Flor]),"")</f>
        <v/>
      </c>
      <c r="G29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29" s="38"/>
      <c r="I29" s="39"/>
      <c r="K29" s="53"/>
      <c r="L29" s="31" t="str">
        <f>IFERROR(_xlfn.XLOOKUP(Tabla20[[#This Row],[Fecha Siembra]],SemXDias[Dias],SemXDias[Semanas]),"")</f>
        <v/>
      </c>
      <c r="M29" s="31" t="str">
        <f>+IFERROR(IF(AND(Tabla20[[#This Row],[Cama Completa]]="si",Tabla20[[#This Row],[Cortinas]]&lt;&gt;_xlfn.XLOOKUP(A29,Info_Camas[Concat],Info_Camas[Cortinas])),"Verifique que sea cama Completa","OK"),"")</f>
        <v/>
      </c>
    </row>
    <row r="30" spans="1:13" x14ac:dyDescent="0.35">
      <c r="A30" s="31" t="str">
        <f>_xlfn.CONCAT(Tabla20[[#This Row],[Bloque]],Tabla20[[#This Row],[Lado]],Tabla20[[#This Row],[Cama]])</f>
        <v/>
      </c>
      <c r="B30" s="34"/>
      <c r="D30" s="34"/>
      <c r="E30" s="36" t="str">
        <f>IFERROR(_xlfn.XLOOKUP(Tabla20[[#This Row],[Variedades]],Tabla10[Variedad],Tabla10[Flor]),"")</f>
        <v/>
      </c>
      <c r="G30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30" s="38"/>
      <c r="I30" s="39"/>
      <c r="K30" s="53"/>
      <c r="L30" s="31" t="str">
        <f>IFERROR(_xlfn.XLOOKUP(Tabla20[[#This Row],[Fecha Siembra]],SemXDias[Dias],SemXDias[Semanas]),"")</f>
        <v/>
      </c>
      <c r="M30" s="31" t="str">
        <f>+IFERROR(IF(AND(Tabla20[[#This Row],[Cama Completa]]="si",Tabla20[[#This Row],[Cortinas]]&lt;&gt;_xlfn.XLOOKUP(A30,Info_Camas[Concat],Info_Camas[Cortinas])),"Verifique que sea cama Completa","OK"),"")</f>
        <v/>
      </c>
    </row>
    <row r="31" spans="1:13" x14ac:dyDescent="0.35">
      <c r="A31" s="31" t="str">
        <f>_xlfn.CONCAT(Tabla20[[#This Row],[Bloque]],Tabla20[[#This Row],[Lado]],Tabla20[[#This Row],[Cama]])</f>
        <v/>
      </c>
      <c r="B31" s="34"/>
      <c r="D31" s="34"/>
      <c r="E31" s="36" t="str">
        <f>IFERROR(_xlfn.XLOOKUP(Tabla20[[#This Row],[Variedades]],Tabla10[Variedad],Tabla10[Flor]),"")</f>
        <v/>
      </c>
      <c r="G31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31" s="38"/>
      <c r="I31" s="39"/>
      <c r="K31" s="53"/>
      <c r="L31" s="31" t="str">
        <f>IFERROR(_xlfn.XLOOKUP(Tabla20[[#This Row],[Fecha Siembra]],SemXDias[Dias],SemXDias[Semanas]),"")</f>
        <v/>
      </c>
      <c r="M31" s="31" t="str">
        <f>+IFERROR(IF(AND(Tabla20[[#This Row],[Cama Completa]]="si",Tabla20[[#This Row],[Cortinas]]&lt;&gt;_xlfn.XLOOKUP(A31,Info_Camas[Concat],Info_Camas[Cortinas])),"Verifique que sea cama Completa","OK"),"")</f>
        <v/>
      </c>
    </row>
    <row r="32" spans="1:13" x14ac:dyDescent="0.35">
      <c r="A32" s="31" t="str">
        <f>_xlfn.CONCAT(Tabla20[[#This Row],[Bloque]],Tabla20[[#This Row],[Lado]],Tabla20[[#This Row],[Cama]])</f>
        <v/>
      </c>
      <c r="B32" s="34"/>
      <c r="D32" s="34"/>
      <c r="E32" s="36" t="str">
        <f>IFERROR(_xlfn.XLOOKUP(Tabla20[[#This Row],[Variedades]],Tabla10[Variedad],Tabla10[Flor]),"")</f>
        <v/>
      </c>
      <c r="G32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32" s="38"/>
      <c r="I32" s="39"/>
      <c r="K32" s="53"/>
      <c r="L32" s="31" t="str">
        <f>IFERROR(_xlfn.XLOOKUP(Tabla20[[#This Row],[Fecha Siembra]],SemXDias[Dias],SemXDias[Semanas]),"")</f>
        <v/>
      </c>
      <c r="M32" s="31" t="str">
        <f>+IFERROR(IF(AND(Tabla20[[#This Row],[Cama Completa]]="si",Tabla20[[#This Row],[Cortinas]]&lt;&gt;_xlfn.XLOOKUP(A32,Info_Camas[Concat],Info_Camas[Cortinas])),"Verifique que sea cama Completa","OK"),"")</f>
        <v/>
      </c>
    </row>
    <row r="33" spans="1:13" x14ac:dyDescent="0.35">
      <c r="A33" s="31" t="str">
        <f>_xlfn.CONCAT(Tabla20[[#This Row],[Bloque]],Tabla20[[#This Row],[Lado]],Tabla20[[#This Row],[Cama]])</f>
        <v/>
      </c>
      <c r="B33" s="34"/>
      <c r="D33" s="34"/>
      <c r="E33" s="36" t="str">
        <f>IFERROR(_xlfn.XLOOKUP(Tabla20[[#This Row],[Variedades]],Tabla10[Variedad],Tabla10[Flor]),"")</f>
        <v/>
      </c>
      <c r="G33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33" s="38"/>
      <c r="I33" s="39"/>
      <c r="K33" s="53"/>
      <c r="L33" s="31" t="str">
        <f>IFERROR(_xlfn.XLOOKUP(Tabla20[[#This Row],[Fecha Siembra]],SemXDias[Dias],SemXDias[Semanas]),"")</f>
        <v/>
      </c>
      <c r="M33" s="31" t="str">
        <f>+IFERROR(IF(AND(Tabla20[[#This Row],[Cama Completa]]="si",Tabla20[[#This Row],[Cortinas]]&lt;&gt;_xlfn.XLOOKUP(A33,Info_Camas[Concat],Info_Camas[Cortinas])),"Verifique que sea cama Completa","OK"),"")</f>
        <v/>
      </c>
    </row>
    <row r="34" spans="1:13" x14ac:dyDescent="0.35">
      <c r="A34" s="31" t="str">
        <f>_xlfn.CONCAT(Tabla20[[#This Row],[Bloque]],Tabla20[[#This Row],[Lado]],Tabla20[[#This Row],[Cama]])</f>
        <v/>
      </c>
      <c r="B34" s="34"/>
      <c r="D34" s="34"/>
      <c r="E34" s="36" t="str">
        <f>IFERROR(_xlfn.XLOOKUP(Tabla20[[#This Row],[Variedades]],Tabla10[Variedad],Tabla10[Flor]),"")</f>
        <v/>
      </c>
      <c r="G34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34" s="38"/>
      <c r="I34" s="39"/>
      <c r="K34" s="53"/>
      <c r="L34" s="31" t="str">
        <f>IFERROR(_xlfn.XLOOKUP(Tabla20[[#This Row],[Fecha Siembra]],SemXDias[Dias],SemXDias[Semanas]),"")</f>
        <v/>
      </c>
      <c r="M34" s="31" t="str">
        <f>+IFERROR(IF(AND(Tabla20[[#This Row],[Cama Completa]]="si",Tabla20[[#This Row],[Cortinas]]&lt;&gt;_xlfn.XLOOKUP(A34,Info_Camas[Concat],Info_Camas[Cortinas])),"Verifique que sea cama Completa","OK"),"")</f>
        <v/>
      </c>
    </row>
    <row r="35" spans="1:13" x14ac:dyDescent="0.35">
      <c r="A35" s="31" t="str">
        <f>_xlfn.CONCAT(Tabla20[[#This Row],[Bloque]],Tabla20[[#This Row],[Lado]],Tabla20[[#This Row],[Cama]])</f>
        <v/>
      </c>
      <c r="B35" s="34"/>
      <c r="D35" s="34"/>
      <c r="E35" s="36" t="str">
        <f>IFERROR(_xlfn.XLOOKUP(Tabla20[[#This Row],[Variedades]],Tabla10[Variedad],Tabla10[Flor]),"")</f>
        <v/>
      </c>
      <c r="G35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35" s="38"/>
      <c r="I35" s="39"/>
      <c r="K35" s="53"/>
      <c r="L35" s="31" t="str">
        <f>IFERROR(_xlfn.XLOOKUP(Tabla20[[#This Row],[Fecha Siembra]],SemXDias[Dias],SemXDias[Semanas]),"")</f>
        <v/>
      </c>
      <c r="M35" s="31" t="str">
        <f>+IFERROR(IF(AND(Tabla20[[#This Row],[Cama Completa]]="si",Tabla20[[#This Row],[Cortinas]]&lt;&gt;_xlfn.XLOOKUP(A35,Info_Camas[Concat],Info_Camas[Cortinas])),"Verifique que sea cama Completa","OK"),"")</f>
        <v/>
      </c>
    </row>
    <row r="36" spans="1:13" x14ac:dyDescent="0.35">
      <c r="A36" s="31" t="str">
        <f>_xlfn.CONCAT(Tabla20[[#This Row],[Bloque]],Tabla20[[#This Row],[Lado]],Tabla20[[#This Row],[Cama]])</f>
        <v/>
      </c>
      <c r="B36" s="34"/>
      <c r="D36" s="34"/>
      <c r="E36" s="36" t="str">
        <f>IFERROR(_xlfn.XLOOKUP(Tabla20[[#This Row],[Variedades]],Tabla10[Variedad],Tabla10[Flor]),"")</f>
        <v/>
      </c>
      <c r="G36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36" s="38"/>
      <c r="I36" s="39"/>
      <c r="K36" s="53"/>
      <c r="L36" s="31" t="str">
        <f>IFERROR(_xlfn.XLOOKUP(Tabla20[[#This Row],[Fecha Siembra]],SemXDias[Dias],SemXDias[Semanas]),"")</f>
        <v/>
      </c>
      <c r="M36" s="31" t="str">
        <f>+IFERROR(IF(AND(Tabla20[[#This Row],[Cama Completa]]="si",Tabla20[[#This Row],[Cortinas]]&lt;&gt;_xlfn.XLOOKUP(A36,Info_Camas[Concat],Info_Camas[Cortinas])),"Verifique que sea cama Completa","OK"),"")</f>
        <v/>
      </c>
    </row>
    <row r="37" spans="1:13" x14ac:dyDescent="0.35">
      <c r="A37" s="31" t="str">
        <f>_xlfn.CONCAT(Tabla20[[#This Row],[Bloque]],Tabla20[[#This Row],[Lado]],Tabla20[[#This Row],[Cama]])</f>
        <v/>
      </c>
      <c r="B37" s="34"/>
      <c r="D37" s="34"/>
      <c r="E37" s="36" t="str">
        <f>IFERROR(_xlfn.XLOOKUP(Tabla20[[#This Row],[Variedades]],Tabla10[Variedad],Tabla10[Flor]),"")</f>
        <v/>
      </c>
      <c r="G37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37" s="38"/>
      <c r="I37" s="39"/>
      <c r="K37" s="53"/>
      <c r="L37" s="31" t="str">
        <f>IFERROR(_xlfn.XLOOKUP(Tabla20[[#This Row],[Fecha Siembra]],SemXDias[Dias],SemXDias[Semanas]),"")</f>
        <v/>
      </c>
      <c r="M37" s="31" t="str">
        <f>+IFERROR(IF(AND(Tabla20[[#This Row],[Cama Completa]]="si",Tabla20[[#This Row],[Cortinas]]&lt;&gt;_xlfn.XLOOKUP(A37,Info_Camas[Concat],Info_Camas[Cortinas])),"Verifique que sea cama Completa","OK"),"")</f>
        <v/>
      </c>
    </row>
    <row r="38" spans="1:13" x14ac:dyDescent="0.35">
      <c r="A38" s="31" t="str">
        <f>_xlfn.CONCAT(Tabla20[[#This Row],[Bloque]],Tabla20[[#This Row],[Lado]],Tabla20[[#This Row],[Cama]])</f>
        <v/>
      </c>
      <c r="B38" s="34"/>
      <c r="D38" s="34"/>
      <c r="E38" s="36" t="str">
        <f>IFERROR(_xlfn.XLOOKUP(Tabla20[[#This Row],[Variedades]],Tabla10[Variedad],Tabla10[Flor]),"")</f>
        <v/>
      </c>
      <c r="G38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38" s="38"/>
      <c r="I38" s="39"/>
      <c r="K38" s="53"/>
      <c r="L38" s="31" t="str">
        <f>IFERROR(_xlfn.XLOOKUP(Tabla20[[#This Row],[Fecha Siembra]],SemXDias[Dias],SemXDias[Semanas]),"")</f>
        <v/>
      </c>
      <c r="M38" s="31" t="str">
        <f>+IFERROR(IF(AND(Tabla20[[#This Row],[Cama Completa]]="si",Tabla20[[#This Row],[Cortinas]]&lt;&gt;_xlfn.XLOOKUP(A38,Info_Camas[Concat],Info_Camas[Cortinas])),"Verifique que sea cama Completa","OK"),"")</f>
        <v/>
      </c>
    </row>
    <row r="39" spans="1:13" x14ac:dyDescent="0.35">
      <c r="A39" s="31" t="str">
        <f>_xlfn.CONCAT(Tabla20[[#This Row],[Bloque]],Tabla20[[#This Row],[Lado]],Tabla20[[#This Row],[Cama]])</f>
        <v/>
      </c>
      <c r="B39" s="34"/>
      <c r="D39" s="34"/>
      <c r="E39" s="36" t="str">
        <f>IFERROR(_xlfn.XLOOKUP(Tabla20[[#This Row],[Variedades]],Tabla10[Variedad],Tabla10[Flor]),"")</f>
        <v/>
      </c>
      <c r="G39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39" s="38"/>
      <c r="I39" s="39"/>
      <c r="K39" s="53"/>
      <c r="L39" s="31" t="str">
        <f>IFERROR(_xlfn.XLOOKUP(Tabla20[[#This Row],[Fecha Siembra]],SemXDias[Dias],SemXDias[Semanas]),"")</f>
        <v/>
      </c>
      <c r="M39" s="31" t="str">
        <f>+IFERROR(IF(AND(Tabla20[[#This Row],[Cama Completa]]="si",Tabla20[[#This Row],[Cortinas]]&lt;&gt;_xlfn.XLOOKUP(A39,Info_Camas[Concat],Info_Camas[Cortinas])),"Verifique que sea cama Completa","OK"),"")</f>
        <v/>
      </c>
    </row>
    <row r="40" spans="1:13" x14ac:dyDescent="0.35">
      <c r="A40" s="31" t="str">
        <f>_xlfn.CONCAT(Tabla20[[#This Row],[Bloque]],Tabla20[[#This Row],[Lado]],Tabla20[[#This Row],[Cama]])</f>
        <v/>
      </c>
      <c r="B40" s="34"/>
      <c r="D40" s="34"/>
      <c r="E40" s="36" t="str">
        <f>IFERROR(_xlfn.XLOOKUP(Tabla20[[#This Row],[Variedades]],Tabla10[Variedad],Tabla10[Flor]),"")</f>
        <v/>
      </c>
      <c r="G40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40" s="38"/>
      <c r="I40" s="39"/>
      <c r="K40" s="53"/>
      <c r="L40" s="31" t="str">
        <f>IFERROR(_xlfn.XLOOKUP(Tabla20[[#This Row],[Fecha Siembra]],SemXDias[Dias],SemXDias[Semanas]),"")</f>
        <v/>
      </c>
      <c r="M40" s="31" t="str">
        <f>+IFERROR(IF(AND(Tabla20[[#This Row],[Cama Completa]]="si",Tabla20[[#This Row],[Cortinas]]&lt;&gt;_xlfn.XLOOKUP(A40,Info_Camas[Concat],Info_Camas[Cortinas])),"Verifique que sea cama Completa","OK"),"")</f>
        <v/>
      </c>
    </row>
    <row r="41" spans="1:13" x14ac:dyDescent="0.35">
      <c r="A41" s="31" t="str">
        <f>_xlfn.CONCAT(Tabla20[[#This Row],[Bloque]],Tabla20[[#This Row],[Lado]],Tabla20[[#This Row],[Cama]])</f>
        <v/>
      </c>
      <c r="B41" s="34"/>
      <c r="D41" s="34"/>
      <c r="E41" s="36" t="str">
        <f>IFERROR(_xlfn.XLOOKUP(Tabla20[[#This Row],[Variedades]],Tabla10[Variedad],Tabla10[Flor]),"")</f>
        <v/>
      </c>
      <c r="G41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41" s="38"/>
      <c r="I41" s="39"/>
      <c r="K41" s="53"/>
      <c r="L41" s="31" t="str">
        <f>IFERROR(_xlfn.XLOOKUP(Tabla20[[#This Row],[Fecha Siembra]],SemXDias[Dias],SemXDias[Semanas]),"")</f>
        <v/>
      </c>
      <c r="M41" s="31" t="str">
        <f>+IFERROR(IF(AND(Tabla20[[#This Row],[Cama Completa]]="si",Tabla20[[#This Row],[Cortinas]]&lt;&gt;_xlfn.XLOOKUP(A41,Info_Camas[Concat],Info_Camas[Cortinas])),"Verifique que sea cama Completa","OK"),"")</f>
        <v/>
      </c>
    </row>
    <row r="42" spans="1:13" x14ac:dyDescent="0.35">
      <c r="A42" s="31" t="str">
        <f>_xlfn.CONCAT(Tabla20[[#This Row],[Bloque]],Tabla20[[#This Row],[Lado]],Tabla20[[#This Row],[Cama]])</f>
        <v/>
      </c>
      <c r="B42" s="34"/>
      <c r="D42" s="34"/>
      <c r="E42" s="36" t="str">
        <f>IFERROR(_xlfn.XLOOKUP(Tabla20[[#This Row],[Variedades]],Tabla10[Variedad],Tabla10[Flor]),"")</f>
        <v/>
      </c>
      <c r="G42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42" s="38"/>
      <c r="I42" s="39"/>
      <c r="K42" s="53"/>
      <c r="L42" s="31" t="str">
        <f>IFERROR(_xlfn.XLOOKUP(Tabla20[[#This Row],[Fecha Siembra]],SemXDias[Dias],SemXDias[Semanas]),"")</f>
        <v/>
      </c>
      <c r="M42" s="31" t="str">
        <f>+IFERROR(IF(AND(Tabla20[[#This Row],[Cama Completa]]="si",Tabla20[[#This Row],[Cortinas]]&lt;&gt;_xlfn.XLOOKUP(A42,Info_Camas[Concat],Info_Camas[Cortinas])),"Verifique que sea cama Completa","OK"),"")</f>
        <v/>
      </c>
    </row>
    <row r="43" spans="1:13" x14ac:dyDescent="0.35">
      <c r="A43" s="31" t="str">
        <f>_xlfn.CONCAT(Tabla20[[#This Row],[Bloque]],Tabla20[[#This Row],[Lado]],Tabla20[[#This Row],[Cama]])</f>
        <v/>
      </c>
      <c r="B43" s="34"/>
      <c r="D43" s="34"/>
      <c r="E43" s="36" t="str">
        <f>IFERROR(_xlfn.XLOOKUP(Tabla20[[#This Row],[Variedades]],Tabla10[Variedad],Tabla10[Flor]),"")</f>
        <v/>
      </c>
      <c r="G43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43" s="38"/>
      <c r="I43" s="39"/>
      <c r="K43" s="53"/>
      <c r="L43" s="31" t="str">
        <f>IFERROR(_xlfn.XLOOKUP(Tabla20[[#This Row],[Fecha Siembra]],SemXDias[Dias],SemXDias[Semanas]),"")</f>
        <v/>
      </c>
      <c r="M43" s="31" t="str">
        <f>+IFERROR(IF(AND(Tabla20[[#This Row],[Cama Completa]]="si",Tabla20[[#This Row],[Cortinas]]&lt;&gt;_xlfn.XLOOKUP(A43,Info_Camas[Concat],Info_Camas[Cortinas])),"Verifique que sea cama Completa","OK"),"")</f>
        <v/>
      </c>
    </row>
    <row r="44" spans="1:13" x14ac:dyDescent="0.35">
      <c r="A44" s="31" t="str">
        <f>_xlfn.CONCAT(Tabla20[[#This Row],[Bloque]],Tabla20[[#This Row],[Lado]],Tabla20[[#This Row],[Cama]])</f>
        <v/>
      </c>
      <c r="B44" s="34"/>
      <c r="D44" s="34"/>
      <c r="E44" s="36" t="str">
        <f>IFERROR(_xlfn.XLOOKUP(Tabla20[[#This Row],[Variedades]],Tabla10[Variedad],Tabla10[Flor]),"")</f>
        <v/>
      </c>
      <c r="G44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44" s="38"/>
      <c r="I44" s="39"/>
      <c r="K44" s="53"/>
      <c r="L44" s="31" t="str">
        <f>IFERROR(_xlfn.XLOOKUP(Tabla20[[#This Row],[Fecha Siembra]],SemXDias[Dias],SemXDias[Semanas]),"")</f>
        <v/>
      </c>
      <c r="M44" s="31" t="str">
        <f>+IFERROR(IF(AND(Tabla20[[#This Row],[Cama Completa]]="si",Tabla20[[#This Row],[Cortinas]]&lt;&gt;_xlfn.XLOOKUP(A44,Info_Camas[Concat],Info_Camas[Cortinas])),"Verifique que sea cama Completa","OK"),"")</f>
        <v/>
      </c>
    </row>
    <row r="45" spans="1:13" x14ac:dyDescent="0.35">
      <c r="A45" s="31" t="str">
        <f>_xlfn.CONCAT(Tabla20[[#This Row],[Bloque]],Tabla20[[#This Row],[Lado]],Tabla20[[#This Row],[Cama]])</f>
        <v/>
      </c>
      <c r="B45" s="34"/>
      <c r="D45" s="34"/>
      <c r="E45" s="36" t="str">
        <f>IFERROR(_xlfn.XLOOKUP(Tabla20[[#This Row],[Variedades]],Tabla10[Variedad],Tabla10[Flor]),"")</f>
        <v/>
      </c>
      <c r="G45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45" s="38"/>
      <c r="I45" s="39"/>
      <c r="K45" s="53"/>
      <c r="L45" s="31" t="str">
        <f>IFERROR(_xlfn.XLOOKUP(Tabla20[[#This Row],[Fecha Siembra]],SemXDias[Dias],SemXDias[Semanas]),"")</f>
        <v/>
      </c>
      <c r="M45" s="31" t="str">
        <f>+IFERROR(IF(AND(Tabla20[[#This Row],[Cama Completa]]="si",Tabla20[[#This Row],[Cortinas]]&lt;&gt;_xlfn.XLOOKUP(A45,Info_Camas[Concat],Info_Camas[Cortinas])),"Verifique que sea cama Completa","OK"),"")</f>
        <v/>
      </c>
    </row>
    <row r="46" spans="1:13" x14ac:dyDescent="0.35">
      <c r="A46" s="31" t="str">
        <f>_xlfn.CONCAT(Tabla20[[#This Row],[Bloque]],Tabla20[[#This Row],[Lado]],Tabla20[[#This Row],[Cama]])</f>
        <v/>
      </c>
      <c r="B46" s="34"/>
      <c r="D46" s="34"/>
      <c r="E46" s="36" t="str">
        <f>IFERROR(_xlfn.XLOOKUP(Tabla20[[#This Row],[Variedades]],Tabla10[Variedad],Tabla10[Flor]),"")</f>
        <v/>
      </c>
      <c r="G46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46" s="38"/>
      <c r="I46" s="39"/>
      <c r="K46" s="53"/>
      <c r="L46" s="31" t="str">
        <f>IFERROR(_xlfn.XLOOKUP(Tabla20[[#This Row],[Fecha Siembra]],SemXDias[Dias],SemXDias[Semanas]),"")</f>
        <v/>
      </c>
      <c r="M46" s="31" t="str">
        <f>+IFERROR(IF(AND(Tabla20[[#This Row],[Cama Completa]]="si",Tabla20[[#This Row],[Cortinas]]&lt;&gt;_xlfn.XLOOKUP(A46,Info_Camas[Concat],Info_Camas[Cortinas])),"Verifique que sea cama Completa","OK"),"")</f>
        <v/>
      </c>
    </row>
    <row r="47" spans="1:13" x14ac:dyDescent="0.35">
      <c r="A47" s="31" t="str">
        <f>_xlfn.CONCAT(Tabla20[[#This Row],[Bloque]],Tabla20[[#This Row],[Lado]],Tabla20[[#This Row],[Cama]])</f>
        <v/>
      </c>
      <c r="B47" s="34"/>
      <c r="D47" s="34"/>
      <c r="E47" s="36" t="str">
        <f>IFERROR(_xlfn.XLOOKUP(Tabla20[[#This Row],[Variedades]],Tabla10[Variedad],Tabla10[Flor]),"")</f>
        <v/>
      </c>
      <c r="G47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47" s="38"/>
      <c r="I47" s="39"/>
      <c r="K47" s="53"/>
      <c r="L47" s="31" t="str">
        <f>IFERROR(_xlfn.XLOOKUP(Tabla20[[#This Row],[Fecha Siembra]],SemXDias[Dias],SemXDias[Semanas]),"")</f>
        <v/>
      </c>
      <c r="M47" s="31" t="str">
        <f>+IFERROR(IF(AND(Tabla20[[#This Row],[Cama Completa]]="si",Tabla20[[#This Row],[Cortinas]]&lt;&gt;_xlfn.XLOOKUP(A47,Info_Camas[Concat],Info_Camas[Cortinas])),"Verifique que sea cama Completa","OK"),"")</f>
        <v/>
      </c>
    </row>
    <row r="48" spans="1:13" x14ac:dyDescent="0.35">
      <c r="A48" s="31" t="str">
        <f>_xlfn.CONCAT(Tabla20[[#This Row],[Bloque]],Tabla20[[#This Row],[Lado]],Tabla20[[#This Row],[Cama]])</f>
        <v/>
      </c>
      <c r="B48" s="34"/>
      <c r="D48" s="34"/>
      <c r="E48" s="36" t="str">
        <f>IFERROR(_xlfn.XLOOKUP(Tabla20[[#This Row],[Variedades]],Tabla10[Variedad],Tabla10[Flor]),"")</f>
        <v/>
      </c>
      <c r="G48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48" s="38"/>
      <c r="I48" s="39"/>
      <c r="K48" s="53"/>
      <c r="L48" s="31" t="str">
        <f>IFERROR(_xlfn.XLOOKUP(Tabla20[[#This Row],[Fecha Siembra]],SemXDias[Dias],SemXDias[Semanas]),"")</f>
        <v/>
      </c>
      <c r="M48" s="31" t="str">
        <f>+IFERROR(IF(AND(Tabla20[[#This Row],[Cama Completa]]="si",Tabla20[[#This Row],[Cortinas]]&lt;&gt;_xlfn.XLOOKUP(A48,Info_Camas[Concat],Info_Camas[Cortinas])),"Verifique que sea cama Completa","OK"),"")</f>
        <v/>
      </c>
    </row>
    <row r="49" spans="1:13" x14ac:dyDescent="0.35">
      <c r="A49" s="31" t="str">
        <f>_xlfn.CONCAT(Tabla20[[#This Row],[Bloque]],Tabla20[[#This Row],[Lado]],Tabla20[[#This Row],[Cama]])</f>
        <v/>
      </c>
      <c r="B49" s="34"/>
      <c r="D49" s="34"/>
      <c r="E49" s="36" t="str">
        <f>IFERROR(_xlfn.XLOOKUP(Tabla20[[#This Row],[Variedades]],Tabla10[Variedad],Tabla10[Flor]),"")</f>
        <v/>
      </c>
      <c r="G49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49" s="38"/>
      <c r="I49" s="39"/>
      <c r="K49" s="53"/>
      <c r="L49" s="31" t="str">
        <f>IFERROR(_xlfn.XLOOKUP(Tabla20[[#This Row],[Fecha Siembra]],SemXDias[Dias],SemXDias[Semanas]),"")</f>
        <v/>
      </c>
      <c r="M49" s="31" t="str">
        <f>+IFERROR(IF(AND(Tabla20[[#This Row],[Cama Completa]]="si",Tabla20[[#This Row],[Cortinas]]&lt;&gt;_xlfn.XLOOKUP(A49,Info_Camas[Concat],Info_Camas[Cortinas])),"Verifique que sea cama Completa","OK"),"")</f>
        <v/>
      </c>
    </row>
    <row r="50" spans="1:13" x14ac:dyDescent="0.35">
      <c r="A50" s="31" t="str">
        <f>_xlfn.CONCAT(Tabla20[[#This Row],[Bloque]],Tabla20[[#This Row],[Lado]],Tabla20[[#This Row],[Cama]])</f>
        <v/>
      </c>
      <c r="B50" s="34"/>
      <c r="D50" s="34"/>
      <c r="E50" s="36" t="str">
        <f>IFERROR(_xlfn.XLOOKUP(Tabla20[[#This Row],[Variedades]],Tabla10[Variedad],Tabla10[Flor]),"")</f>
        <v/>
      </c>
      <c r="G50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50" s="38"/>
      <c r="I50" s="39"/>
      <c r="K50" s="53"/>
      <c r="L50" s="31" t="str">
        <f>IFERROR(_xlfn.XLOOKUP(Tabla20[[#This Row],[Fecha Siembra]],SemXDias[Dias],SemXDias[Semanas]),"")</f>
        <v/>
      </c>
      <c r="M50" s="31" t="str">
        <f>+IFERROR(IF(AND(Tabla20[[#This Row],[Cama Completa]]="si",Tabla20[[#This Row],[Cortinas]]&lt;&gt;_xlfn.XLOOKUP(A50,Info_Camas[Concat],Info_Camas[Cortinas])),"Verifique que sea cama Completa","OK"),"")</f>
        <v/>
      </c>
    </row>
    <row r="51" spans="1:13" x14ac:dyDescent="0.35">
      <c r="A51" s="31" t="str">
        <f>_xlfn.CONCAT(Tabla20[[#This Row],[Bloque]],Tabla20[[#This Row],[Lado]],Tabla20[[#This Row],[Cama]])</f>
        <v/>
      </c>
      <c r="B51" s="34"/>
      <c r="D51" s="34"/>
      <c r="E51" s="36" t="str">
        <f>IFERROR(_xlfn.XLOOKUP(Tabla20[[#This Row],[Variedades]],Tabla10[Variedad],Tabla10[Flor]),"")</f>
        <v/>
      </c>
      <c r="G51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51" s="38"/>
      <c r="I51" s="39"/>
      <c r="K51" s="53"/>
      <c r="L51" s="31" t="str">
        <f>IFERROR(_xlfn.XLOOKUP(Tabla20[[#This Row],[Fecha Siembra]],SemXDias[Dias],SemXDias[Semanas]),"")</f>
        <v/>
      </c>
      <c r="M51" s="31" t="str">
        <f>+IFERROR(IF(AND(Tabla20[[#This Row],[Cama Completa]]="si",Tabla20[[#This Row],[Cortinas]]&lt;&gt;_xlfn.XLOOKUP(A51,Info_Camas[Concat],Info_Camas[Cortinas])),"Verifique que sea cama Completa","OK"),"")</f>
        <v/>
      </c>
    </row>
    <row r="52" spans="1:13" x14ac:dyDescent="0.35">
      <c r="A52" s="31" t="str">
        <f>_xlfn.CONCAT(Tabla20[[#This Row],[Bloque]],Tabla20[[#This Row],[Lado]],Tabla20[[#This Row],[Cama]])</f>
        <v/>
      </c>
      <c r="B52" s="34"/>
      <c r="D52" s="34"/>
      <c r="E52" s="36" t="str">
        <f>IFERROR(_xlfn.XLOOKUP(Tabla20[[#This Row],[Variedades]],Tabla10[Variedad],Tabla10[Flor]),"")</f>
        <v/>
      </c>
      <c r="G52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52" s="38"/>
      <c r="I52" s="39"/>
      <c r="K52" s="53"/>
      <c r="L52" s="31" t="str">
        <f>IFERROR(_xlfn.XLOOKUP(Tabla20[[#This Row],[Fecha Siembra]],SemXDias[Dias],SemXDias[Semanas]),"")</f>
        <v/>
      </c>
      <c r="M52" s="31" t="str">
        <f>+IFERROR(IF(AND(Tabla20[[#This Row],[Cama Completa]]="si",Tabla20[[#This Row],[Cortinas]]&lt;&gt;_xlfn.XLOOKUP(A52,Info_Camas[Concat],Info_Camas[Cortinas])),"Verifique que sea cama Completa","OK"),"")</f>
        <v/>
      </c>
    </row>
    <row r="53" spans="1:13" x14ac:dyDescent="0.35">
      <c r="A53" s="31" t="str">
        <f>_xlfn.CONCAT(Tabla20[[#This Row],[Bloque]],Tabla20[[#This Row],[Lado]],Tabla20[[#This Row],[Cama]])</f>
        <v/>
      </c>
      <c r="B53" s="34"/>
      <c r="D53" s="34"/>
      <c r="E53" s="36" t="str">
        <f>IFERROR(_xlfn.XLOOKUP(Tabla20[[#This Row],[Variedades]],Tabla10[Variedad],Tabla10[Flor]),"")</f>
        <v/>
      </c>
      <c r="G53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53" s="38"/>
      <c r="I53" s="39"/>
      <c r="K53" s="53"/>
      <c r="L53" s="31" t="str">
        <f>IFERROR(_xlfn.XLOOKUP(Tabla20[[#This Row],[Fecha Siembra]],SemXDias[Dias],SemXDias[Semanas]),"")</f>
        <v/>
      </c>
      <c r="M53" s="31" t="str">
        <f>+IFERROR(IF(AND(Tabla20[[#This Row],[Cama Completa]]="si",Tabla20[[#This Row],[Cortinas]]&lt;&gt;_xlfn.XLOOKUP(A53,Info_Camas[Concat],Info_Camas[Cortinas])),"Verifique que sea cama Completa","OK"),"")</f>
        <v/>
      </c>
    </row>
    <row r="54" spans="1:13" x14ac:dyDescent="0.35">
      <c r="A54" s="31" t="str">
        <f>_xlfn.CONCAT(Tabla20[[#This Row],[Bloque]],Tabla20[[#This Row],[Lado]],Tabla20[[#This Row],[Cama]])</f>
        <v/>
      </c>
      <c r="B54" s="34"/>
      <c r="D54" s="34"/>
      <c r="E54" s="36" t="str">
        <f>IFERROR(_xlfn.XLOOKUP(Tabla20[[#This Row],[Variedades]],Tabla10[Variedad],Tabla10[Flor]),"")</f>
        <v/>
      </c>
      <c r="G54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54" s="38"/>
      <c r="I54" s="39"/>
      <c r="K54" s="53"/>
      <c r="L54" s="31" t="str">
        <f>IFERROR(_xlfn.XLOOKUP(Tabla20[[#This Row],[Fecha Siembra]],SemXDias[Dias],SemXDias[Semanas]),"")</f>
        <v/>
      </c>
      <c r="M54" s="31" t="str">
        <f>+IFERROR(IF(AND(Tabla20[[#This Row],[Cama Completa]]="si",Tabla20[[#This Row],[Cortinas]]&lt;&gt;_xlfn.XLOOKUP(A54,Info_Camas[Concat],Info_Camas[Cortinas])),"Verifique que sea cama Completa","OK"),"")</f>
        <v/>
      </c>
    </row>
    <row r="55" spans="1:13" x14ac:dyDescent="0.35">
      <c r="A55" s="31" t="str">
        <f>_xlfn.CONCAT(Tabla20[[#This Row],[Bloque]],Tabla20[[#This Row],[Lado]],Tabla20[[#This Row],[Cama]])</f>
        <v/>
      </c>
      <c r="B55" s="34"/>
      <c r="D55" s="34"/>
      <c r="E55" s="36" t="str">
        <f>IFERROR(_xlfn.XLOOKUP(Tabla20[[#This Row],[Variedades]],Tabla10[Variedad],Tabla10[Flor]),"")</f>
        <v/>
      </c>
      <c r="G55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55" s="38"/>
      <c r="I55" s="39"/>
      <c r="K55" s="53"/>
      <c r="L55" s="31" t="str">
        <f>IFERROR(_xlfn.XLOOKUP(Tabla20[[#This Row],[Fecha Siembra]],SemXDias[Dias],SemXDias[Semanas]),"")</f>
        <v/>
      </c>
      <c r="M55" s="31" t="str">
        <f>+IFERROR(IF(AND(Tabla20[[#This Row],[Cama Completa]]="si",Tabla20[[#This Row],[Cortinas]]&lt;&gt;_xlfn.XLOOKUP(A55,Info_Camas[Concat],Info_Camas[Cortinas])),"Verifique que sea cama Completa","OK"),"")</f>
        <v/>
      </c>
    </row>
    <row r="56" spans="1:13" x14ac:dyDescent="0.35">
      <c r="A56" s="31" t="str">
        <f>_xlfn.CONCAT(Tabla20[[#This Row],[Bloque]],Tabla20[[#This Row],[Lado]],Tabla20[[#This Row],[Cama]])</f>
        <v/>
      </c>
      <c r="B56" s="34"/>
      <c r="D56" s="34"/>
      <c r="E56" s="36" t="str">
        <f>IFERROR(_xlfn.XLOOKUP(Tabla20[[#This Row],[Variedades]],Tabla10[Variedad],Tabla10[Flor]),"")</f>
        <v/>
      </c>
      <c r="G56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56" s="38"/>
      <c r="I56" s="39"/>
      <c r="K56" s="53"/>
      <c r="L56" s="31" t="str">
        <f>IFERROR(_xlfn.XLOOKUP(Tabla20[[#This Row],[Fecha Siembra]],SemXDias[Dias],SemXDias[Semanas]),"")</f>
        <v/>
      </c>
      <c r="M56" s="31" t="str">
        <f>+IFERROR(IF(AND(Tabla20[[#This Row],[Cama Completa]]="si",Tabla20[[#This Row],[Cortinas]]&lt;&gt;_xlfn.XLOOKUP(A56,Info_Camas[Concat],Info_Camas[Cortinas])),"Verifique que sea cama Completa","OK"),"")</f>
        <v/>
      </c>
    </row>
    <row r="57" spans="1:13" x14ac:dyDescent="0.35">
      <c r="A57" s="31" t="str">
        <f>_xlfn.CONCAT(Tabla20[[#This Row],[Bloque]],Tabla20[[#This Row],[Lado]],Tabla20[[#This Row],[Cama]])</f>
        <v/>
      </c>
      <c r="B57" s="34"/>
      <c r="D57" s="34"/>
      <c r="E57" s="36" t="str">
        <f>IFERROR(_xlfn.XLOOKUP(Tabla20[[#This Row],[Variedades]],Tabla10[Variedad],Tabla10[Flor]),"")</f>
        <v/>
      </c>
      <c r="G57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57" s="38"/>
      <c r="I57" s="39"/>
      <c r="K57" s="53"/>
      <c r="L57" s="31" t="str">
        <f>IFERROR(_xlfn.XLOOKUP(Tabla20[[#This Row],[Fecha Siembra]],SemXDias[Dias],SemXDias[Semanas]),"")</f>
        <v/>
      </c>
      <c r="M57" s="31" t="str">
        <f>+IFERROR(IF(AND(Tabla20[[#This Row],[Cama Completa]]="si",Tabla20[[#This Row],[Cortinas]]&lt;&gt;_xlfn.XLOOKUP(A57,Info_Camas[Concat],Info_Camas[Cortinas])),"Verifique que sea cama Completa","OK"),"")</f>
        <v/>
      </c>
    </row>
    <row r="58" spans="1:13" x14ac:dyDescent="0.35">
      <c r="A58" s="31" t="str">
        <f>_xlfn.CONCAT(Tabla20[[#This Row],[Bloque]],Tabla20[[#This Row],[Lado]],Tabla20[[#This Row],[Cama]])</f>
        <v/>
      </c>
      <c r="B58" s="34"/>
      <c r="D58" s="34"/>
      <c r="E58" s="36" t="str">
        <f>IFERROR(_xlfn.XLOOKUP(Tabla20[[#This Row],[Variedades]],Tabla10[Variedad],Tabla10[Flor]),"")</f>
        <v/>
      </c>
      <c r="G58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58" s="38"/>
      <c r="I58" s="39"/>
      <c r="K58" s="53"/>
      <c r="L58" s="31" t="str">
        <f>IFERROR(_xlfn.XLOOKUP(Tabla20[[#This Row],[Fecha Siembra]],SemXDias[Dias],SemXDias[Semanas]),"")</f>
        <v/>
      </c>
      <c r="M58" s="31" t="str">
        <f>+IFERROR(IF(AND(Tabla20[[#This Row],[Cama Completa]]="si",Tabla20[[#This Row],[Cortinas]]&lt;&gt;_xlfn.XLOOKUP(A58,Info_Camas[Concat],Info_Camas[Cortinas])),"Verifique que sea cama Completa","OK"),"")</f>
        <v/>
      </c>
    </row>
    <row r="59" spans="1:13" x14ac:dyDescent="0.35">
      <c r="A59" s="31" t="str">
        <f>_xlfn.CONCAT(Tabla20[[#This Row],[Bloque]],Tabla20[[#This Row],[Lado]],Tabla20[[#This Row],[Cama]])</f>
        <v/>
      </c>
      <c r="B59" s="34"/>
      <c r="D59" s="34"/>
      <c r="E59" s="36" t="str">
        <f>IFERROR(_xlfn.XLOOKUP(Tabla20[[#This Row],[Variedades]],Tabla10[Variedad],Tabla10[Flor]),"")</f>
        <v/>
      </c>
      <c r="G59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59" s="38"/>
      <c r="I59" s="39"/>
      <c r="K59" s="53"/>
      <c r="L59" s="31" t="str">
        <f>IFERROR(_xlfn.XLOOKUP(Tabla20[[#This Row],[Fecha Siembra]],SemXDias[Dias],SemXDias[Semanas]),"")</f>
        <v/>
      </c>
      <c r="M59" s="31" t="str">
        <f>+IFERROR(IF(AND(Tabla20[[#This Row],[Cama Completa]]="si",Tabla20[[#This Row],[Cortinas]]&lt;&gt;_xlfn.XLOOKUP(A59,Info_Camas[Concat],Info_Camas[Cortinas])),"Verifique que sea cama Completa","OK"),"")</f>
        <v/>
      </c>
    </row>
    <row r="60" spans="1:13" x14ac:dyDescent="0.35">
      <c r="A60" s="31" t="str">
        <f>_xlfn.CONCAT(Tabla20[[#This Row],[Bloque]],Tabla20[[#This Row],[Lado]],Tabla20[[#This Row],[Cama]])</f>
        <v/>
      </c>
      <c r="B60" s="34"/>
      <c r="D60" s="34"/>
      <c r="E60" s="36" t="str">
        <f>IFERROR(_xlfn.XLOOKUP(Tabla20[[#This Row],[Variedades]],Tabla10[Variedad],Tabla10[Flor]),"")</f>
        <v/>
      </c>
      <c r="G60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60" s="38"/>
      <c r="I60" s="39"/>
      <c r="K60" s="53"/>
      <c r="L60" s="31" t="str">
        <f>IFERROR(_xlfn.XLOOKUP(Tabla20[[#This Row],[Fecha Siembra]],SemXDias[Dias],SemXDias[Semanas]),"")</f>
        <v/>
      </c>
      <c r="M60" s="31" t="str">
        <f>+IFERROR(IF(AND(Tabla20[[#This Row],[Cama Completa]]="si",Tabla20[[#This Row],[Cortinas]]&lt;&gt;_xlfn.XLOOKUP(A60,Info_Camas[Concat],Info_Camas[Cortinas])),"Verifique que sea cama Completa","OK"),"")</f>
        <v/>
      </c>
    </row>
    <row r="61" spans="1:13" x14ac:dyDescent="0.35">
      <c r="A61" s="31" t="str">
        <f>_xlfn.CONCAT(Tabla20[[#This Row],[Bloque]],Tabla20[[#This Row],[Lado]],Tabla20[[#This Row],[Cama]])</f>
        <v/>
      </c>
      <c r="B61" s="34"/>
      <c r="D61" s="34"/>
      <c r="E61" s="36" t="str">
        <f>IFERROR(_xlfn.XLOOKUP(Tabla20[[#This Row],[Variedades]],Tabla10[Variedad],Tabla10[Flor]),"")</f>
        <v/>
      </c>
      <c r="G61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61" s="38"/>
      <c r="I61" s="39"/>
      <c r="K61" s="53"/>
      <c r="L61" s="31" t="str">
        <f>IFERROR(_xlfn.XLOOKUP(Tabla20[[#This Row],[Fecha Siembra]],SemXDias[Dias],SemXDias[Semanas]),"")</f>
        <v/>
      </c>
      <c r="M61" s="31" t="str">
        <f>+IFERROR(IF(AND(Tabla20[[#This Row],[Cama Completa]]="si",Tabla20[[#This Row],[Cortinas]]&lt;&gt;_xlfn.XLOOKUP(A61,Info_Camas[Concat],Info_Camas[Cortinas])),"Verifique que sea cama Completa","OK"),"")</f>
        <v/>
      </c>
    </row>
    <row r="62" spans="1:13" x14ac:dyDescent="0.35">
      <c r="A62" s="31" t="str">
        <f>_xlfn.CONCAT(Tabla20[[#This Row],[Bloque]],Tabla20[[#This Row],[Lado]],Tabla20[[#This Row],[Cama]])</f>
        <v/>
      </c>
      <c r="B62" s="34"/>
      <c r="D62" s="34"/>
      <c r="E62" s="36" t="str">
        <f>IFERROR(_xlfn.XLOOKUP(Tabla20[[#This Row],[Variedades]],Tabla10[Variedad],Tabla10[Flor]),"")</f>
        <v/>
      </c>
      <c r="G62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62" s="38"/>
      <c r="I62" s="39"/>
      <c r="K62" s="53"/>
      <c r="L62" s="31" t="str">
        <f>IFERROR(_xlfn.XLOOKUP(Tabla20[[#This Row],[Fecha Siembra]],SemXDias[Dias],SemXDias[Semanas]),"")</f>
        <v/>
      </c>
      <c r="M62" s="31" t="str">
        <f>+IFERROR(IF(AND(Tabla20[[#This Row],[Cama Completa]]="si",Tabla20[[#This Row],[Cortinas]]&lt;&gt;_xlfn.XLOOKUP(A62,Info_Camas[Concat],Info_Camas[Cortinas])),"Verifique que sea cama Completa","OK"),"")</f>
        <v/>
      </c>
    </row>
    <row r="63" spans="1:13" x14ac:dyDescent="0.35">
      <c r="A63" s="31" t="str">
        <f>_xlfn.CONCAT(Tabla20[[#This Row],[Bloque]],Tabla20[[#This Row],[Lado]],Tabla20[[#This Row],[Cama]])</f>
        <v/>
      </c>
      <c r="B63" s="34"/>
      <c r="D63" s="34"/>
      <c r="E63" s="36" t="str">
        <f>IFERROR(_xlfn.XLOOKUP(Tabla20[[#This Row],[Variedades]],Tabla10[Variedad],Tabla10[Flor]),"")</f>
        <v/>
      </c>
      <c r="G63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63" s="38"/>
      <c r="I63" s="39"/>
      <c r="K63" s="53"/>
      <c r="L63" s="31" t="str">
        <f>IFERROR(_xlfn.XLOOKUP(Tabla20[[#This Row],[Fecha Siembra]],SemXDias[Dias],SemXDias[Semanas]),"")</f>
        <v/>
      </c>
      <c r="M63" s="31" t="str">
        <f>+IFERROR(IF(AND(Tabla20[[#This Row],[Cama Completa]]="si",Tabla20[[#This Row],[Cortinas]]&lt;&gt;_xlfn.XLOOKUP(A63,Info_Camas[Concat],Info_Camas[Cortinas])),"Verifique que sea cama Completa","OK"),"")</f>
        <v/>
      </c>
    </row>
    <row r="64" spans="1:13" x14ac:dyDescent="0.35">
      <c r="A64" s="31" t="str">
        <f>_xlfn.CONCAT(Tabla20[[#This Row],[Bloque]],Tabla20[[#This Row],[Lado]],Tabla20[[#This Row],[Cama]])</f>
        <v/>
      </c>
      <c r="B64" s="34"/>
      <c r="D64" s="34"/>
      <c r="E64" s="36" t="str">
        <f>IFERROR(_xlfn.XLOOKUP(Tabla20[[#This Row],[Variedades]],Tabla10[Variedad],Tabla10[Flor]),"")</f>
        <v/>
      </c>
      <c r="G64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64" s="38"/>
      <c r="I64" s="39"/>
      <c r="K64" s="53"/>
      <c r="L64" s="31" t="str">
        <f>IFERROR(_xlfn.XLOOKUP(Tabla20[[#This Row],[Fecha Siembra]],SemXDias[Dias],SemXDias[Semanas]),"")</f>
        <v/>
      </c>
      <c r="M64" s="31" t="str">
        <f>+IFERROR(IF(AND(Tabla20[[#This Row],[Cama Completa]]="si",Tabla20[[#This Row],[Cortinas]]&lt;&gt;_xlfn.XLOOKUP(A64,Info_Camas[Concat],Info_Camas[Cortinas])),"Verifique que sea cama Completa","OK"),"")</f>
        <v/>
      </c>
    </row>
    <row r="65" spans="1:13" x14ac:dyDescent="0.35">
      <c r="A65" s="31" t="str">
        <f>_xlfn.CONCAT(Tabla20[[#This Row],[Bloque]],Tabla20[[#This Row],[Lado]],Tabla20[[#This Row],[Cama]])</f>
        <v/>
      </c>
      <c r="B65" s="34"/>
      <c r="D65" s="34"/>
      <c r="E65" s="36" t="str">
        <f>IFERROR(_xlfn.XLOOKUP(Tabla20[[#This Row],[Variedades]],Tabla10[Variedad],Tabla10[Flor]),"")</f>
        <v/>
      </c>
      <c r="G65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65" s="38"/>
      <c r="I65" s="39"/>
      <c r="K65" s="53"/>
      <c r="L65" s="31" t="str">
        <f>IFERROR(_xlfn.XLOOKUP(Tabla20[[#This Row],[Fecha Siembra]],SemXDias[Dias],SemXDias[Semanas]),"")</f>
        <v/>
      </c>
      <c r="M65" s="31" t="str">
        <f>+IFERROR(IF(AND(Tabla20[[#This Row],[Cama Completa]]="si",Tabla20[[#This Row],[Cortinas]]&lt;&gt;_xlfn.XLOOKUP(A65,Info_Camas[Concat],Info_Camas[Cortinas])),"Verifique que sea cama Completa","OK"),"")</f>
        <v/>
      </c>
    </row>
    <row r="66" spans="1:13" x14ac:dyDescent="0.35">
      <c r="A66" s="31" t="str">
        <f>_xlfn.CONCAT(Tabla20[[#This Row],[Bloque]],Tabla20[[#This Row],[Lado]],Tabla20[[#This Row],[Cama]])</f>
        <v/>
      </c>
      <c r="B66" s="34"/>
      <c r="D66" s="34"/>
      <c r="E66" s="36" t="str">
        <f>IFERROR(_xlfn.XLOOKUP(Tabla20[[#This Row],[Variedades]],Tabla10[Variedad],Tabla10[Flor]),"")</f>
        <v/>
      </c>
      <c r="G66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66" s="38"/>
      <c r="I66" s="39"/>
      <c r="K66" s="53"/>
      <c r="L66" s="31" t="str">
        <f>IFERROR(_xlfn.XLOOKUP(Tabla20[[#This Row],[Fecha Siembra]],SemXDias[Dias],SemXDias[Semanas]),"")</f>
        <v/>
      </c>
      <c r="M66" s="31" t="str">
        <f>+IFERROR(IF(AND(Tabla20[[#This Row],[Cama Completa]]="si",Tabla20[[#This Row],[Cortinas]]&lt;&gt;_xlfn.XLOOKUP(A66,Info_Camas[Concat],Info_Camas[Cortinas])),"Verifique que sea cama Completa","OK"),"")</f>
        <v/>
      </c>
    </row>
    <row r="67" spans="1:13" x14ac:dyDescent="0.35">
      <c r="A67" s="31" t="str">
        <f>_xlfn.CONCAT(Tabla20[[#This Row],[Bloque]],Tabla20[[#This Row],[Lado]],Tabla20[[#This Row],[Cama]])</f>
        <v/>
      </c>
      <c r="B67" s="34"/>
      <c r="D67" s="34"/>
      <c r="E67" s="36" t="str">
        <f>IFERROR(_xlfn.XLOOKUP(Tabla20[[#This Row],[Variedades]],Tabla10[Variedad],Tabla10[Flor]),"")</f>
        <v/>
      </c>
      <c r="G67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67" s="38"/>
      <c r="I67" s="39"/>
      <c r="K67" s="53"/>
      <c r="L67" s="31" t="str">
        <f>IFERROR(_xlfn.XLOOKUP(Tabla20[[#This Row],[Fecha Siembra]],SemXDias[Dias],SemXDias[Semanas]),"")</f>
        <v/>
      </c>
      <c r="M67" s="31" t="str">
        <f>+IFERROR(IF(AND(Tabla20[[#This Row],[Cama Completa]]="si",Tabla20[[#This Row],[Cortinas]]&lt;&gt;_xlfn.XLOOKUP(A67,Info_Camas[Concat],Info_Camas[Cortinas])),"Verifique que sea cama Completa","OK"),"")</f>
        <v/>
      </c>
    </row>
    <row r="68" spans="1:13" x14ac:dyDescent="0.35">
      <c r="A68" s="31" t="str">
        <f>_xlfn.CONCAT(Tabla20[[#This Row],[Bloque]],Tabla20[[#This Row],[Lado]],Tabla20[[#This Row],[Cama]])</f>
        <v/>
      </c>
      <c r="B68" s="34"/>
      <c r="D68" s="34"/>
      <c r="E68" s="36" t="str">
        <f>IFERROR(_xlfn.XLOOKUP(Tabla20[[#This Row],[Variedades]],Tabla10[Variedad],Tabla10[Flor]),"")</f>
        <v/>
      </c>
      <c r="G68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68" s="38"/>
      <c r="I68" s="39"/>
      <c r="K68" s="53"/>
      <c r="L68" s="31" t="str">
        <f>IFERROR(_xlfn.XLOOKUP(Tabla20[[#This Row],[Fecha Siembra]],SemXDias[Dias],SemXDias[Semanas]),"")</f>
        <v/>
      </c>
      <c r="M68" s="31" t="str">
        <f>+IFERROR(IF(AND(Tabla20[[#This Row],[Cama Completa]]="si",Tabla20[[#This Row],[Cortinas]]&lt;&gt;_xlfn.XLOOKUP(A68,Info_Camas[Concat],Info_Camas[Cortinas])),"Verifique que sea cama Completa","OK"),"")</f>
        <v/>
      </c>
    </row>
    <row r="69" spans="1:13" x14ac:dyDescent="0.35">
      <c r="A69" s="31" t="str">
        <f>_xlfn.CONCAT(Tabla20[[#This Row],[Bloque]],Tabla20[[#This Row],[Lado]],Tabla20[[#This Row],[Cama]])</f>
        <v/>
      </c>
      <c r="B69" s="34"/>
      <c r="D69" s="34"/>
      <c r="E69" s="36" t="str">
        <f>IFERROR(_xlfn.XLOOKUP(Tabla20[[#This Row],[Variedades]],Tabla10[Variedad],Tabla10[Flor]),"")</f>
        <v/>
      </c>
      <c r="G69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69" s="38"/>
      <c r="I69" s="39"/>
      <c r="K69" s="53"/>
      <c r="L69" s="31" t="str">
        <f>IFERROR(_xlfn.XLOOKUP(Tabla20[[#This Row],[Fecha Siembra]],SemXDias[Dias],SemXDias[Semanas]),"")</f>
        <v/>
      </c>
      <c r="M69" s="31" t="str">
        <f>+IFERROR(IF(AND(Tabla20[[#This Row],[Cama Completa]]="si",Tabla20[[#This Row],[Cortinas]]&lt;&gt;_xlfn.XLOOKUP(A69,Info_Camas[Concat],Info_Camas[Cortinas])),"Verifique que sea cama Completa","OK"),"")</f>
        <v/>
      </c>
    </row>
    <row r="70" spans="1:13" x14ac:dyDescent="0.35">
      <c r="A70" s="31" t="str">
        <f>_xlfn.CONCAT(Tabla20[[#This Row],[Bloque]],Tabla20[[#This Row],[Lado]],Tabla20[[#This Row],[Cama]])</f>
        <v/>
      </c>
      <c r="B70" s="34"/>
      <c r="D70" s="34"/>
      <c r="E70" s="36" t="str">
        <f>IFERROR(_xlfn.XLOOKUP(Tabla20[[#This Row],[Variedades]],Tabla10[Variedad],Tabla10[Flor]),"")</f>
        <v/>
      </c>
      <c r="G70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70" s="38"/>
      <c r="I70" s="39"/>
      <c r="K70" s="53"/>
      <c r="L70" s="31" t="str">
        <f>IFERROR(_xlfn.XLOOKUP(Tabla20[[#This Row],[Fecha Siembra]],SemXDias[Dias],SemXDias[Semanas]),"")</f>
        <v/>
      </c>
      <c r="M70" s="31" t="str">
        <f>+IFERROR(IF(AND(Tabla20[[#This Row],[Cama Completa]]="si",Tabla20[[#This Row],[Cortinas]]&lt;&gt;_xlfn.XLOOKUP(A70,Info_Camas[Concat],Info_Camas[Cortinas])),"Verifique que sea cama Completa","OK"),"")</f>
        <v/>
      </c>
    </row>
    <row r="71" spans="1:13" x14ac:dyDescent="0.35">
      <c r="A71" s="31" t="str">
        <f>_xlfn.CONCAT(Tabla20[[#This Row],[Bloque]],Tabla20[[#This Row],[Lado]],Tabla20[[#This Row],[Cama]])</f>
        <v/>
      </c>
      <c r="B71" s="34"/>
      <c r="D71" s="34"/>
      <c r="E71" s="36" t="str">
        <f>IFERROR(_xlfn.XLOOKUP(Tabla20[[#This Row],[Variedades]],Tabla10[Variedad],Tabla10[Flor]),"")</f>
        <v/>
      </c>
      <c r="G71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71" s="38"/>
      <c r="I71" s="39"/>
      <c r="K71" s="53"/>
      <c r="L71" s="31" t="str">
        <f>IFERROR(_xlfn.XLOOKUP(Tabla20[[#This Row],[Fecha Siembra]],SemXDias[Dias],SemXDias[Semanas]),"")</f>
        <v/>
      </c>
      <c r="M71" s="31" t="str">
        <f>+IFERROR(IF(AND(Tabla20[[#This Row],[Cama Completa]]="si",Tabla20[[#This Row],[Cortinas]]&lt;&gt;_xlfn.XLOOKUP(A71,Info_Camas[Concat],Info_Camas[Cortinas])),"Verifique que sea cama Completa","OK"),"")</f>
        <v/>
      </c>
    </row>
    <row r="72" spans="1:13" x14ac:dyDescent="0.35">
      <c r="A72" s="31" t="str">
        <f>_xlfn.CONCAT(Tabla20[[#This Row],[Bloque]],Tabla20[[#This Row],[Lado]],Tabla20[[#This Row],[Cama]])</f>
        <v/>
      </c>
      <c r="B72" s="34"/>
      <c r="D72" s="34"/>
      <c r="E72" s="36" t="str">
        <f>IFERROR(_xlfn.XLOOKUP(Tabla20[[#This Row],[Variedades]],Tabla10[Variedad],Tabla10[Flor]),"")</f>
        <v/>
      </c>
      <c r="G72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72" s="38"/>
      <c r="I72" s="39"/>
      <c r="K72" s="53"/>
      <c r="L72" s="31" t="str">
        <f>IFERROR(_xlfn.XLOOKUP(Tabla20[[#This Row],[Fecha Siembra]],SemXDias[Dias],SemXDias[Semanas]),"")</f>
        <v/>
      </c>
      <c r="M72" s="31" t="str">
        <f>+IFERROR(IF(AND(Tabla20[[#This Row],[Cama Completa]]="si",Tabla20[[#This Row],[Cortinas]]&lt;&gt;_xlfn.XLOOKUP(A72,Info_Camas[Concat],Info_Camas[Cortinas])),"Verifique que sea cama Completa","OK"),"")</f>
        <v/>
      </c>
    </row>
    <row r="73" spans="1:13" x14ac:dyDescent="0.35">
      <c r="A73" s="31" t="str">
        <f>_xlfn.CONCAT(Tabla20[[#This Row],[Bloque]],Tabla20[[#This Row],[Lado]],Tabla20[[#This Row],[Cama]])</f>
        <v/>
      </c>
      <c r="B73" s="34"/>
      <c r="D73" s="34"/>
      <c r="E73" s="36" t="str">
        <f>IFERROR(_xlfn.XLOOKUP(Tabla20[[#This Row],[Variedades]],Tabla10[Variedad],Tabla10[Flor]),"")</f>
        <v/>
      </c>
      <c r="G73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73" s="38"/>
      <c r="I73" s="39"/>
      <c r="K73" s="53"/>
      <c r="L73" s="31" t="str">
        <f>IFERROR(_xlfn.XLOOKUP(Tabla20[[#This Row],[Fecha Siembra]],SemXDias[Dias],SemXDias[Semanas]),"")</f>
        <v/>
      </c>
      <c r="M73" s="31" t="str">
        <f>+IFERROR(IF(AND(Tabla20[[#This Row],[Cama Completa]]="si",Tabla20[[#This Row],[Cortinas]]&lt;&gt;_xlfn.XLOOKUP(A73,Info_Camas[Concat],Info_Camas[Cortinas])),"Verifique que sea cama Completa","OK"),"")</f>
        <v/>
      </c>
    </row>
    <row r="74" spans="1:13" x14ac:dyDescent="0.35">
      <c r="A74" s="31" t="str">
        <f>_xlfn.CONCAT(Tabla20[[#This Row],[Bloque]],Tabla20[[#This Row],[Lado]],Tabla20[[#This Row],[Cama]])</f>
        <v/>
      </c>
      <c r="B74" s="34"/>
      <c r="D74" s="34"/>
      <c r="E74" s="36" t="str">
        <f>IFERROR(_xlfn.XLOOKUP(Tabla20[[#This Row],[Variedades]],Tabla10[Variedad],Tabla10[Flor]),"")</f>
        <v/>
      </c>
      <c r="G74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74" s="38"/>
      <c r="I74" s="39"/>
      <c r="K74" s="53"/>
      <c r="L74" s="31" t="str">
        <f>IFERROR(_xlfn.XLOOKUP(Tabla20[[#This Row],[Fecha Siembra]],SemXDias[Dias],SemXDias[Semanas]),"")</f>
        <v/>
      </c>
      <c r="M74" s="31" t="str">
        <f>+IFERROR(IF(AND(Tabla20[[#This Row],[Cama Completa]]="si",Tabla20[[#This Row],[Cortinas]]&lt;&gt;_xlfn.XLOOKUP(A74,Info_Camas[Concat],Info_Camas[Cortinas])),"Verifique que sea cama Completa","OK"),"")</f>
        <v/>
      </c>
    </row>
    <row r="75" spans="1:13" x14ac:dyDescent="0.35">
      <c r="A75" s="31" t="str">
        <f>_xlfn.CONCAT(Tabla20[[#This Row],[Bloque]],Tabla20[[#This Row],[Lado]],Tabla20[[#This Row],[Cama]])</f>
        <v/>
      </c>
      <c r="B75" s="34"/>
      <c r="D75" s="34"/>
      <c r="E75" s="36" t="str">
        <f>IFERROR(_xlfn.XLOOKUP(Tabla20[[#This Row],[Variedades]],Tabla10[Variedad],Tabla10[Flor]),"")</f>
        <v/>
      </c>
      <c r="G75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75" s="38"/>
      <c r="I75" s="39"/>
      <c r="K75" s="53"/>
      <c r="L75" s="31" t="str">
        <f>IFERROR(_xlfn.XLOOKUP(Tabla20[[#This Row],[Fecha Siembra]],SemXDias[Dias],SemXDias[Semanas]),"")</f>
        <v/>
      </c>
      <c r="M75" s="31" t="str">
        <f>+IFERROR(IF(AND(Tabla20[[#This Row],[Cama Completa]]="si",Tabla20[[#This Row],[Cortinas]]&lt;&gt;_xlfn.XLOOKUP(A75,Info_Camas[Concat],Info_Camas[Cortinas])),"Verifique que sea cama Completa","OK"),"")</f>
        <v/>
      </c>
    </row>
    <row r="76" spans="1:13" x14ac:dyDescent="0.35">
      <c r="A76" s="31" t="str">
        <f>_xlfn.CONCAT(Tabla20[[#This Row],[Bloque]],Tabla20[[#This Row],[Lado]],Tabla20[[#This Row],[Cama]])</f>
        <v/>
      </c>
      <c r="B76" s="34"/>
      <c r="D76" s="34"/>
      <c r="E76" s="36" t="str">
        <f>IFERROR(_xlfn.XLOOKUP(Tabla20[[#This Row],[Variedades]],Tabla10[Variedad],Tabla10[Flor]),"")</f>
        <v/>
      </c>
      <c r="G76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76" s="38"/>
      <c r="I76" s="39"/>
      <c r="K76" s="53"/>
      <c r="L76" s="31" t="str">
        <f>IFERROR(_xlfn.XLOOKUP(Tabla20[[#This Row],[Fecha Siembra]],SemXDias[Dias],SemXDias[Semanas]),"")</f>
        <v/>
      </c>
      <c r="M76" s="31" t="str">
        <f>+IFERROR(IF(AND(Tabla20[[#This Row],[Cama Completa]]="si",Tabla20[[#This Row],[Cortinas]]&lt;&gt;_xlfn.XLOOKUP(A76,Info_Camas[Concat],Info_Camas[Cortinas])),"Verifique que sea cama Completa","OK"),"")</f>
        <v/>
      </c>
    </row>
    <row r="77" spans="1:13" x14ac:dyDescent="0.35">
      <c r="A77" s="31" t="str">
        <f>_xlfn.CONCAT(Tabla20[[#This Row],[Bloque]],Tabla20[[#This Row],[Lado]],Tabla20[[#This Row],[Cama]])</f>
        <v/>
      </c>
      <c r="B77" s="34"/>
      <c r="D77" s="34"/>
      <c r="E77" s="36" t="str">
        <f>IFERROR(_xlfn.XLOOKUP(Tabla20[[#This Row],[Variedades]],Tabla10[Variedad],Tabla10[Flor]),"")</f>
        <v/>
      </c>
      <c r="G77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77" s="38"/>
      <c r="I77" s="39"/>
      <c r="K77" s="53"/>
      <c r="L77" s="31" t="str">
        <f>IFERROR(_xlfn.XLOOKUP(Tabla20[[#This Row],[Fecha Siembra]],SemXDias[Dias],SemXDias[Semanas]),"")</f>
        <v/>
      </c>
      <c r="M77" s="31" t="str">
        <f>+IFERROR(IF(AND(Tabla20[[#This Row],[Cama Completa]]="si",Tabla20[[#This Row],[Cortinas]]&lt;&gt;_xlfn.XLOOKUP(A77,Info_Camas[Concat],Info_Camas[Cortinas])),"Verifique que sea cama Completa","OK"),"")</f>
        <v/>
      </c>
    </row>
    <row r="78" spans="1:13" x14ac:dyDescent="0.35">
      <c r="A78" s="31" t="str">
        <f>_xlfn.CONCAT(Tabla20[[#This Row],[Bloque]],Tabla20[[#This Row],[Lado]],Tabla20[[#This Row],[Cama]])</f>
        <v/>
      </c>
      <c r="B78" s="34"/>
      <c r="D78" s="34"/>
      <c r="E78" s="36" t="str">
        <f>IFERROR(_xlfn.XLOOKUP(Tabla20[[#This Row],[Variedades]],Tabla10[Variedad],Tabla10[Flor]),"")</f>
        <v/>
      </c>
      <c r="G78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78" s="38"/>
      <c r="I78" s="39"/>
      <c r="K78" s="53"/>
      <c r="L78" s="31" t="str">
        <f>IFERROR(_xlfn.XLOOKUP(Tabla20[[#This Row],[Fecha Siembra]],SemXDias[Dias],SemXDias[Semanas]),"")</f>
        <v/>
      </c>
      <c r="M78" s="31" t="str">
        <f>+IFERROR(IF(AND(Tabla20[[#This Row],[Cama Completa]]="si",Tabla20[[#This Row],[Cortinas]]&lt;&gt;_xlfn.XLOOKUP(A78,Info_Camas[Concat],Info_Camas[Cortinas])),"Verifique que sea cama Completa","OK"),"")</f>
        <v/>
      </c>
    </row>
    <row r="79" spans="1:13" x14ac:dyDescent="0.35">
      <c r="A79" s="31" t="str">
        <f>_xlfn.CONCAT(Tabla20[[#This Row],[Bloque]],Tabla20[[#This Row],[Lado]],Tabla20[[#This Row],[Cama]])</f>
        <v/>
      </c>
      <c r="B79" s="34"/>
      <c r="D79" s="34"/>
      <c r="E79" s="36" t="str">
        <f>IFERROR(_xlfn.XLOOKUP(Tabla20[[#This Row],[Variedades]],Tabla10[Variedad],Tabla10[Flor]),"")</f>
        <v/>
      </c>
      <c r="G79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79" s="38"/>
      <c r="I79" s="39"/>
      <c r="K79" s="53"/>
      <c r="L79" s="31" t="str">
        <f>IFERROR(_xlfn.XLOOKUP(Tabla20[[#This Row],[Fecha Siembra]],SemXDias[Dias],SemXDias[Semanas]),"")</f>
        <v/>
      </c>
      <c r="M79" s="31" t="str">
        <f>+IFERROR(IF(AND(Tabla20[[#This Row],[Cama Completa]]="si",Tabla20[[#This Row],[Cortinas]]&lt;&gt;_xlfn.XLOOKUP(A79,Info_Camas[Concat],Info_Camas[Cortinas])),"Verifique que sea cama Completa","OK"),"")</f>
        <v/>
      </c>
    </row>
    <row r="80" spans="1:13" x14ac:dyDescent="0.35">
      <c r="A80" s="31" t="str">
        <f>_xlfn.CONCAT(Tabla20[[#This Row],[Bloque]],Tabla20[[#This Row],[Lado]],Tabla20[[#This Row],[Cama]])</f>
        <v/>
      </c>
      <c r="B80" s="34"/>
      <c r="D80" s="34"/>
      <c r="E80" s="36" t="str">
        <f>IFERROR(_xlfn.XLOOKUP(Tabla20[[#This Row],[Variedades]],Tabla10[Variedad],Tabla10[Flor]),"")</f>
        <v/>
      </c>
      <c r="G80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80" s="38"/>
      <c r="I80" s="39"/>
      <c r="K80" s="53"/>
      <c r="L80" s="31" t="str">
        <f>IFERROR(_xlfn.XLOOKUP(Tabla20[[#This Row],[Fecha Siembra]],SemXDias[Dias],SemXDias[Semanas]),"")</f>
        <v/>
      </c>
      <c r="M80" s="31" t="str">
        <f>+IFERROR(IF(AND(Tabla20[[#This Row],[Cama Completa]]="si",Tabla20[[#This Row],[Cortinas]]&lt;&gt;_xlfn.XLOOKUP(A80,Info_Camas[Concat],Info_Camas[Cortinas])),"Verifique que sea cama Completa","OK"),"")</f>
        <v/>
      </c>
    </row>
    <row r="81" spans="1:13" x14ac:dyDescent="0.35">
      <c r="A81" s="31" t="str">
        <f>_xlfn.CONCAT(Tabla20[[#This Row],[Bloque]],Tabla20[[#This Row],[Lado]],Tabla20[[#This Row],[Cama]])</f>
        <v/>
      </c>
      <c r="B81" s="34"/>
      <c r="D81" s="34"/>
      <c r="E81" s="36" t="str">
        <f>IFERROR(_xlfn.XLOOKUP(Tabla20[[#This Row],[Variedades]],Tabla10[Variedad],Tabla10[Flor]),"")</f>
        <v/>
      </c>
      <c r="G81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81" s="38"/>
      <c r="I81" s="39"/>
      <c r="K81" s="53"/>
      <c r="L81" s="31" t="str">
        <f>IFERROR(_xlfn.XLOOKUP(Tabla20[[#This Row],[Fecha Siembra]],SemXDias[Dias],SemXDias[Semanas]),"")</f>
        <v/>
      </c>
      <c r="M81" s="31" t="str">
        <f>+IFERROR(IF(AND(Tabla20[[#This Row],[Cama Completa]]="si",Tabla20[[#This Row],[Cortinas]]&lt;&gt;_xlfn.XLOOKUP(A81,Info_Camas[Concat],Info_Camas[Cortinas])),"Verifique que sea cama Completa","OK"),"")</f>
        <v/>
      </c>
    </row>
    <row r="82" spans="1:13" x14ac:dyDescent="0.35">
      <c r="A82" s="31" t="str">
        <f>_xlfn.CONCAT(Tabla20[[#This Row],[Bloque]],Tabla20[[#This Row],[Lado]],Tabla20[[#This Row],[Cama]])</f>
        <v/>
      </c>
      <c r="B82" s="34"/>
      <c r="D82" s="34"/>
      <c r="E82" s="36" t="str">
        <f>IFERROR(_xlfn.XLOOKUP(Tabla20[[#This Row],[Variedades]],Tabla10[Variedad],Tabla10[Flor]),"")</f>
        <v/>
      </c>
      <c r="G82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82" s="38"/>
      <c r="I82" s="39"/>
      <c r="K82" s="53"/>
      <c r="L82" s="31" t="str">
        <f>IFERROR(_xlfn.XLOOKUP(Tabla20[[#This Row],[Fecha Siembra]],SemXDias[Dias],SemXDias[Semanas]),"")</f>
        <v/>
      </c>
      <c r="M82" s="31" t="str">
        <f>+IFERROR(IF(AND(Tabla20[[#This Row],[Cama Completa]]="si",Tabla20[[#This Row],[Cortinas]]&lt;&gt;_xlfn.XLOOKUP(A82,Info_Camas[Concat],Info_Camas[Cortinas])),"Verifique que sea cama Completa","OK"),"")</f>
        <v/>
      </c>
    </row>
    <row r="83" spans="1:13" x14ac:dyDescent="0.35">
      <c r="A83" s="31" t="str">
        <f>_xlfn.CONCAT(Tabla20[[#This Row],[Bloque]],Tabla20[[#This Row],[Lado]],Tabla20[[#This Row],[Cama]])</f>
        <v/>
      </c>
      <c r="B83" s="34"/>
      <c r="D83" s="34"/>
      <c r="E83" s="36" t="str">
        <f>IFERROR(_xlfn.XLOOKUP(Tabla20[[#This Row],[Variedades]],Tabla10[Variedad],Tabla10[Flor]),"")</f>
        <v/>
      </c>
      <c r="G83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83" s="38"/>
      <c r="I83" s="39"/>
      <c r="K83" s="53"/>
      <c r="L83" s="31" t="str">
        <f>IFERROR(_xlfn.XLOOKUP(Tabla20[[#This Row],[Fecha Siembra]],SemXDias[Dias],SemXDias[Semanas]),"")</f>
        <v/>
      </c>
      <c r="M83" s="31" t="str">
        <f>+IFERROR(IF(AND(Tabla20[[#This Row],[Cama Completa]]="si",Tabla20[[#This Row],[Cortinas]]&lt;&gt;_xlfn.XLOOKUP(A83,Info_Camas[Concat],Info_Camas[Cortinas])),"Verifique que sea cama Completa","OK"),"")</f>
        <v/>
      </c>
    </row>
    <row r="84" spans="1:13" x14ac:dyDescent="0.35">
      <c r="A84" s="31" t="str">
        <f>_xlfn.CONCAT(Tabla20[[#This Row],[Bloque]],Tabla20[[#This Row],[Lado]],Tabla20[[#This Row],[Cama]])</f>
        <v/>
      </c>
      <c r="B84" s="34"/>
      <c r="D84" s="34"/>
      <c r="E84" s="36" t="str">
        <f>IFERROR(_xlfn.XLOOKUP(Tabla20[[#This Row],[Variedades]],Tabla10[Variedad],Tabla10[Flor]),"")</f>
        <v/>
      </c>
      <c r="G84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84" s="38"/>
      <c r="I84" s="39"/>
      <c r="K84" s="53"/>
      <c r="L84" s="31" t="str">
        <f>IFERROR(_xlfn.XLOOKUP(Tabla20[[#This Row],[Fecha Siembra]],SemXDias[Dias],SemXDias[Semanas]),"")</f>
        <v/>
      </c>
      <c r="M84" s="31" t="str">
        <f>+IFERROR(IF(AND(Tabla20[[#This Row],[Cama Completa]]="si",Tabla20[[#This Row],[Cortinas]]&lt;&gt;_xlfn.XLOOKUP(A84,Info_Camas[Concat],Info_Camas[Cortinas])),"Verifique que sea cama Completa","OK"),"")</f>
        <v/>
      </c>
    </row>
    <row r="85" spans="1:13" x14ac:dyDescent="0.35">
      <c r="A85" s="31" t="str">
        <f>_xlfn.CONCAT(Tabla20[[#This Row],[Bloque]],Tabla20[[#This Row],[Lado]],Tabla20[[#This Row],[Cama]])</f>
        <v/>
      </c>
      <c r="B85" s="34"/>
      <c r="D85" s="34"/>
      <c r="E85" s="36" t="str">
        <f>IFERROR(_xlfn.XLOOKUP(Tabla20[[#This Row],[Variedades]],Tabla10[Variedad],Tabla10[Flor]),"")</f>
        <v/>
      </c>
      <c r="G85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85" s="38"/>
      <c r="I85" s="39"/>
      <c r="K85" s="53"/>
      <c r="L85" s="31" t="str">
        <f>IFERROR(_xlfn.XLOOKUP(Tabla20[[#This Row],[Fecha Siembra]],SemXDias[Dias],SemXDias[Semanas]),"")</f>
        <v/>
      </c>
      <c r="M85" s="31" t="str">
        <f>+IFERROR(IF(AND(Tabla20[[#This Row],[Cama Completa]]="si",Tabla20[[#This Row],[Cortinas]]&lt;&gt;_xlfn.XLOOKUP(A85,Info_Camas[Concat],Info_Camas[Cortinas])),"Verifique que sea cama Completa","OK"),"")</f>
        <v/>
      </c>
    </row>
    <row r="86" spans="1:13" x14ac:dyDescent="0.35">
      <c r="A86" s="31" t="str">
        <f>_xlfn.CONCAT(Tabla20[[#This Row],[Bloque]],Tabla20[[#This Row],[Lado]],Tabla20[[#This Row],[Cama]])</f>
        <v/>
      </c>
      <c r="B86" s="34"/>
      <c r="D86" s="34"/>
      <c r="E86" s="36" t="str">
        <f>IFERROR(_xlfn.XLOOKUP(Tabla20[[#This Row],[Variedades]],Tabla10[Variedad],Tabla10[Flor]),"")</f>
        <v/>
      </c>
      <c r="G86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86" s="38"/>
      <c r="I86" s="39"/>
      <c r="K86" s="53"/>
      <c r="L86" s="31" t="str">
        <f>IFERROR(_xlfn.XLOOKUP(Tabla20[[#This Row],[Fecha Siembra]],SemXDias[Dias],SemXDias[Semanas]),"")</f>
        <v/>
      </c>
      <c r="M86" s="31" t="str">
        <f>+IFERROR(IF(AND(Tabla20[[#This Row],[Cama Completa]]="si",Tabla20[[#This Row],[Cortinas]]&lt;&gt;_xlfn.XLOOKUP(A86,Info_Camas[Concat],Info_Camas[Cortinas])),"Verifique que sea cama Completa","OK"),"")</f>
        <v/>
      </c>
    </row>
    <row r="87" spans="1:13" x14ac:dyDescent="0.35">
      <c r="A87" s="31" t="str">
        <f>_xlfn.CONCAT(Tabla20[[#This Row],[Bloque]],Tabla20[[#This Row],[Lado]],Tabla20[[#This Row],[Cama]])</f>
        <v/>
      </c>
      <c r="B87" s="34"/>
      <c r="D87" s="34"/>
      <c r="E87" s="36" t="str">
        <f>IFERROR(_xlfn.XLOOKUP(Tabla20[[#This Row],[Variedades]],Tabla10[Variedad],Tabla10[Flor]),"")</f>
        <v/>
      </c>
      <c r="G87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87" s="38"/>
      <c r="I87" s="39"/>
      <c r="K87" s="53"/>
      <c r="L87" s="31" t="str">
        <f>IFERROR(_xlfn.XLOOKUP(Tabla20[[#This Row],[Fecha Siembra]],SemXDias[Dias],SemXDias[Semanas]),"")</f>
        <v/>
      </c>
      <c r="M87" s="31" t="str">
        <f>+IFERROR(IF(AND(Tabla20[[#This Row],[Cama Completa]]="si",Tabla20[[#This Row],[Cortinas]]&lt;&gt;_xlfn.XLOOKUP(A87,Info_Camas[Concat],Info_Camas[Cortinas])),"Verifique que sea cama Completa","OK"),"")</f>
        <v/>
      </c>
    </row>
    <row r="88" spans="1:13" x14ac:dyDescent="0.35">
      <c r="A88" s="31" t="str">
        <f>_xlfn.CONCAT(Tabla20[[#This Row],[Bloque]],Tabla20[[#This Row],[Lado]],Tabla20[[#This Row],[Cama]])</f>
        <v/>
      </c>
      <c r="B88" s="34"/>
      <c r="D88" s="34"/>
      <c r="E88" s="36" t="str">
        <f>IFERROR(_xlfn.XLOOKUP(Tabla20[[#This Row],[Variedades]],Tabla10[Variedad],Tabla10[Flor]),"")</f>
        <v/>
      </c>
      <c r="G88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88" s="38"/>
      <c r="I88" s="39"/>
      <c r="K88" s="53"/>
      <c r="L88" s="31" t="str">
        <f>IFERROR(_xlfn.XLOOKUP(Tabla20[[#This Row],[Fecha Siembra]],SemXDias[Dias],SemXDias[Semanas]),"")</f>
        <v/>
      </c>
      <c r="M88" s="31" t="str">
        <f>+IFERROR(IF(AND(Tabla20[[#This Row],[Cama Completa]]="si",Tabla20[[#This Row],[Cortinas]]&lt;&gt;_xlfn.XLOOKUP(A88,Info_Camas[Concat],Info_Camas[Cortinas])),"Verifique que sea cama Completa","OK"),"")</f>
        <v/>
      </c>
    </row>
    <row r="89" spans="1:13" x14ac:dyDescent="0.35">
      <c r="A89" s="31" t="str">
        <f>_xlfn.CONCAT(Tabla20[[#This Row],[Bloque]],Tabla20[[#This Row],[Lado]],Tabla20[[#This Row],[Cama]])</f>
        <v/>
      </c>
      <c r="B89" s="34"/>
      <c r="D89" s="34"/>
      <c r="E89" s="36" t="str">
        <f>IFERROR(_xlfn.XLOOKUP(Tabla20[[#This Row],[Variedades]],Tabla10[Variedad],Tabla10[Flor]),"")</f>
        <v/>
      </c>
      <c r="G89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89" s="38"/>
      <c r="I89" s="39"/>
      <c r="K89" s="53"/>
      <c r="L89" s="31" t="str">
        <f>IFERROR(_xlfn.XLOOKUP(Tabla20[[#This Row],[Fecha Siembra]],SemXDias[Dias],SemXDias[Semanas]),"")</f>
        <v/>
      </c>
      <c r="M89" s="31" t="str">
        <f>+IFERROR(IF(AND(Tabla20[[#This Row],[Cama Completa]]="si",Tabla20[[#This Row],[Cortinas]]&lt;&gt;_xlfn.XLOOKUP(A89,Info_Camas[Concat],Info_Camas[Cortinas])),"Verifique que sea cama Completa","OK"),"")</f>
        <v/>
      </c>
    </row>
    <row r="90" spans="1:13" x14ac:dyDescent="0.35">
      <c r="A90" s="31" t="str">
        <f>_xlfn.CONCAT(Tabla20[[#This Row],[Bloque]],Tabla20[[#This Row],[Lado]],Tabla20[[#This Row],[Cama]])</f>
        <v/>
      </c>
      <c r="B90" s="34"/>
      <c r="D90" s="34"/>
      <c r="E90" s="36" t="str">
        <f>IFERROR(_xlfn.XLOOKUP(Tabla20[[#This Row],[Variedades]],Tabla10[Variedad],Tabla10[Flor]),"")</f>
        <v/>
      </c>
      <c r="G90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90" s="38"/>
      <c r="I90" s="39"/>
      <c r="K90" s="53"/>
      <c r="L90" s="31" t="str">
        <f>IFERROR(_xlfn.XLOOKUP(Tabla20[[#This Row],[Fecha Siembra]],SemXDias[Dias],SemXDias[Semanas]),"")</f>
        <v/>
      </c>
      <c r="M90" s="31" t="str">
        <f>+IFERROR(IF(AND(Tabla20[[#This Row],[Cama Completa]]="si",Tabla20[[#This Row],[Cortinas]]&lt;&gt;_xlfn.XLOOKUP(A90,Info_Camas[Concat],Info_Camas[Cortinas])),"Verifique que sea cama Completa","OK"),"")</f>
        <v/>
      </c>
    </row>
    <row r="91" spans="1:13" x14ac:dyDescent="0.35">
      <c r="A91" s="31" t="str">
        <f>_xlfn.CONCAT(Tabla20[[#This Row],[Bloque]],Tabla20[[#This Row],[Lado]],Tabla20[[#This Row],[Cama]])</f>
        <v/>
      </c>
      <c r="B91" s="34"/>
      <c r="D91" s="34"/>
      <c r="E91" s="36" t="str">
        <f>IFERROR(_xlfn.XLOOKUP(Tabla20[[#This Row],[Variedades]],Tabla10[Variedad],Tabla10[Flor]),"")</f>
        <v/>
      </c>
      <c r="G91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91" s="38"/>
      <c r="I91" s="39"/>
      <c r="K91" s="53"/>
      <c r="L91" s="31" t="str">
        <f>IFERROR(_xlfn.XLOOKUP(Tabla20[[#This Row],[Fecha Siembra]],SemXDias[Dias],SemXDias[Semanas]),"")</f>
        <v/>
      </c>
      <c r="M91" s="31" t="str">
        <f>+IFERROR(IF(AND(Tabla20[[#This Row],[Cama Completa]]="si",Tabla20[[#This Row],[Cortinas]]&lt;&gt;_xlfn.XLOOKUP(A91,Info_Camas[Concat],Info_Camas[Cortinas])),"Verifique que sea cama Completa","OK"),"")</f>
        <v/>
      </c>
    </row>
    <row r="92" spans="1:13" x14ac:dyDescent="0.35">
      <c r="A92" s="31" t="str">
        <f>_xlfn.CONCAT(Tabla20[[#This Row],[Bloque]],Tabla20[[#This Row],[Lado]],Tabla20[[#This Row],[Cama]])</f>
        <v/>
      </c>
      <c r="B92" s="34"/>
      <c r="D92" s="34"/>
      <c r="E92" s="36" t="str">
        <f>IFERROR(_xlfn.XLOOKUP(Tabla20[[#This Row],[Variedades]],Tabla10[Variedad],Tabla10[Flor]),"")</f>
        <v/>
      </c>
      <c r="G92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92" s="38"/>
      <c r="I92" s="39"/>
      <c r="K92" s="53"/>
      <c r="L92" s="31" t="str">
        <f>IFERROR(_xlfn.XLOOKUP(Tabla20[[#This Row],[Fecha Siembra]],SemXDias[Dias],SemXDias[Semanas]),"")</f>
        <v/>
      </c>
      <c r="M92" s="31" t="str">
        <f>+IFERROR(IF(AND(Tabla20[[#This Row],[Cama Completa]]="si",Tabla20[[#This Row],[Cortinas]]&lt;&gt;_xlfn.XLOOKUP(A92,Info_Camas[Concat],Info_Camas[Cortinas])),"Verifique que sea cama Completa","OK"),"")</f>
        <v/>
      </c>
    </row>
    <row r="93" spans="1:13" x14ac:dyDescent="0.35">
      <c r="A93" s="31" t="str">
        <f>_xlfn.CONCAT(Tabla20[[#This Row],[Bloque]],Tabla20[[#This Row],[Lado]],Tabla20[[#This Row],[Cama]])</f>
        <v/>
      </c>
      <c r="B93" s="34"/>
      <c r="D93" s="34"/>
      <c r="E93" s="36" t="str">
        <f>IFERROR(_xlfn.XLOOKUP(Tabla20[[#This Row],[Variedades]],Tabla10[Variedad],Tabla10[Flor]),"")</f>
        <v/>
      </c>
      <c r="G93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93" s="38"/>
      <c r="I93" s="39"/>
      <c r="K93" s="53"/>
      <c r="L93" s="31" t="str">
        <f>IFERROR(_xlfn.XLOOKUP(Tabla20[[#This Row],[Fecha Siembra]],SemXDias[Dias],SemXDias[Semanas]),"")</f>
        <v/>
      </c>
      <c r="M93" s="31" t="str">
        <f>+IFERROR(IF(AND(Tabla20[[#This Row],[Cama Completa]]="si",Tabla20[[#This Row],[Cortinas]]&lt;&gt;_xlfn.XLOOKUP(A93,Info_Camas[Concat],Info_Camas[Cortinas])),"Verifique que sea cama Completa","OK"),"")</f>
        <v/>
      </c>
    </row>
    <row r="94" spans="1:13" x14ac:dyDescent="0.35">
      <c r="A94" s="31" t="str">
        <f>_xlfn.CONCAT(Tabla20[[#This Row],[Bloque]],Tabla20[[#This Row],[Lado]],Tabla20[[#This Row],[Cama]])</f>
        <v/>
      </c>
      <c r="B94" s="34"/>
      <c r="D94" s="34"/>
      <c r="E94" s="36" t="str">
        <f>IFERROR(_xlfn.XLOOKUP(Tabla20[[#This Row],[Variedades]],Tabla10[Variedad],Tabla10[Flor]),"")</f>
        <v/>
      </c>
      <c r="G94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94" s="38"/>
      <c r="I94" s="39"/>
      <c r="K94" s="53"/>
      <c r="L94" s="31" t="str">
        <f>IFERROR(_xlfn.XLOOKUP(Tabla20[[#This Row],[Fecha Siembra]],SemXDias[Dias],SemXDias[Semanas]),"")</f>
        <v/>
      </c>
      <c r="M94" s="31" t="str">
        <f>+IFERROR(IF(AND(Tabla20[[#This Row],[Cama Completa]]="si",Tabla20[[#This Row],[Cortinas]]&lt;&gt;_xlfn.XLOOKUP(A94,Info_Camas[Concat],Info_Camas[Cortinas])),"Verifique que sea cama Completa","OK"),"")</f>
        <v/>
      </c>
    </row>
    <row r="95" spans="1:13" x14ac:dyDescent="0.35">
      <c r="A95" s="31" t="str">
        <f>_xlfn.CONCAT(Tabla20[[#This Row],[Bloque]],Tabla20[[#This Row],[Lado]],Tabla20[[#This Row],[Cama]])</f>
        <v/>
      </c>
      <c r="B95" s="34"/>
      <c r="D95" s="34"/>
      <c r="E95" s="36" t="str">
        <f>IFERROR(_xlfn.XLOOKUP(Tabla20[[#This Row],[Variedades]],Tabla10[Variedad],Tabla10[Flor]),"")</f>
        <v/>
      </c>
      <c r="G95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95" s="38"/>
      <c r="I95" s="39"/>
      <c r="K95" s="53"/>
      <c r="L95" s="31" t="str">
        <f>IFERROR(_xlfn.XLOOKUP(Tabla20[[#This Row],[Fecha Siembra]],SemXDias[Dias],SemXDias[Semanas]),"")</f>
        <v/>
      </c>
      <c r="M95" s="31" t="str">
        <f>+IFERROR(IF(AND(Tabla20[[#This Row],[Cama Completa]]="si",Tabla20[[#This Row],[Cortinas]]&lt;&gt;_xlfn.XLOOKUP(A95,Info_Camas[Concat],Info_Camas[Cortinas])),"Verifique que sea cama Completa","OK"),"")</f>
        <v/>
      </c>
    </row>
    <row r="96" spans="1:13" x14ac:dyDescent="0.35">
      <c r="A96" s="31" t="str">
        <f>_xlfn.CONCAT(Tabla20[[#This Row],[Bloque]],Tabla20[[#This Row],[Lado]],Tabla20[[#This Row],[Cama]])</f>
        <v/>
      </c>
      <c r="B96" s="34"/>
      <c r="D96" s="34"/>
      <c r="E96" s="36" t="str">
        <f>IFERROR(_xlfn.XLOOKUP(Tabla20[[#This Row],[Variedades]],Tabla10[Variedad],Tabla10[Flor]),"")</f>
        <v/>
      </c>
      <c r="G96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96" s="38"/>
      <c r="I96" s="39"/>
      <c r="K96" s="53"/>
      <c r="L96" s="31" t="str">
        <f>IFERROR(_xlfn.XLOOKUP(Tabla20[[#This Row],[Fecha Siembra]],SemXDias[Dias],SemXDias[Semanas]),"")</f>
        <v/>
      </c>
      <c r="M96" s="31" t="str">
        <f>+IFERROR(IF(AND(Tabla20[[#This Row],[Cama Completa]]="si",Tabla20[[#This Row],[Cortinas]]&lt;&gt;_xlfn.XLOOKUP(A96,Info_Camas[Concat],Info_Camas[Cortinas])),"Verifique que sea cama Completa","OK"),"")</f>
        <v/>
      </c>
    </row>
    <row r="97" spans="1:13" x14ac:dyDescent="0.35">
      <c r="A97" s="31" t="str">
        <f>_xlfn.CONCAT(Tabla20[[#This Row],[Bloque]],Tabla20[[#This Row],[Lado]],Tabla20[[#This Row],[Cama]])</f>
        <v/>
      </c>
      <c r="B97" s="34"/>
      <c r="D97" s="34"/>
      <c r="E97" s="36" t="str">
        <f>IFERROR(_xlfn.XLOOKUP(Tabla20[[#This Row],[Variedades]],Tabla10[Variedad],Tabla10[Flor]),"")</f>
        <v/>
      </c>
      <c r="G97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97" s="38"/>
      <c r="I97" s="39"/>
      <c r="K97" s="53"/>
      <c r="L97" s="31" t="str">
        <f>IFERROR(_xlfn.XLOOKUP(Tabla20[[#This Row],[Fecha Siembra]],SemXDias[Dias],SemXDias[Semanas]),"")</f>
        <v/>
      </c>
      <c r="M97" s="31" t="str">
        <f>+IFERROR(IF(AND(Tabla20[[#This Row],[Cama Completa]]="si",Tabla20[[#This Row],[Cortinas]]&lt;&gt;_xlfn.XLOOKUP(A97,Info_Camas[Concat],Info_Camas[Cortinas])),"Verifique que sea cama Completa","OK"),"")</f>
        <v/>
      </c>
    </row>
    <row r="98" spans="1:13" x14ac:dyDescent="0.35">
      <c r="A98" s="31" t="str">
        <f>_xlfn.CONCAT(Tabla20[[#This Row],[Bloque]],Tabla20[[#This Row],[Lado]],Tabla20[[#This Row],[Cama]])</f>
        <v/>
      </c>
      <c r="B98" s="34"/>
      <c r="D98" s="34"/>
      <c r="E98" s="36" t="str">
        <f>IFERROR(_xlfn.XLOOKUP(Tabla20[[#This Row],[Variedades]],Tabla10[Variedad],Tabla10[Flor]),"")</f>
        <v/>
      </c>
      <c r="G98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98" s="38"/>
      <c r="I98" s="39"/>
      <c r="K98" s="53"/>
      <c r="L98" s="31" t="str">
        <f>IFERROR(_xlfn.XLOOKUP(Tabla20[[#This Row],[Fecha Siembra]],SemXDias[Dias],SemXDias[Semanas]),"")</f>
        <v/>
      </c>
      <c r="M98" s="31" t="str">
        <f>+IFERROR(IF(AND(Tabla20[[#This Row],[Cama Completa]]="si",Tabla20[[#This Row],[Cortinas]]&lt;&gt;_xlfn.XLOOKUP(A98,Info_Camas[Concat],Info_Camas[Cortinas])),"Verifique que sea cama Completa","OK"),"")</f>
        <v/>
      </c>
    </row>
    <row r="99" spans="1:13" x14ac:dyDescent="0.35">
      <c r="A99" s="31" t="str">
        <f>_xlfn.CONCAT(Tabla20[[#This Row],[Bloque]],Tabla20[[#This Row],[Lado]],Tabla20[[#This Row],[Cama]])</f>
        <v/>
      </c>
      <c r="B99" s="34"/>
      <c r="D99" s="34"/>
      <c r="E99" s="36" t="str">
        <f>IFERROR(_xlfn.XLOOKUP(Tabla20[[#This Row],[Variedades]],Tabla10[Variedad],Tabla10[Flor]),"")</f>
        <v/>
      </c>
      <c r="G99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99" s="38"/>
      <c r="I99" s="39"/>
      <c r="K99" s="53"/>
      <c r="L99" s="31" t="str">
        <f>IFERROR(_xlfn.XLOOKUP(Tabla20[[#This Row],[Fecha Siembra]],SemXDias[Dias],SemXDias[Semanas]),"")</f>
        <v/>
      </c>
      <c r="M99" s="31" t="str">
        <f>+IFERROR(IF(AND(Tabla20[[#This Row],[Cama Completa]]="si",Tabla20[[#This Row],[Cortinas]]&lt;&gt;_xlfn.XLOOKUP(A99,Info_Camas[Concat],Info_Camas[Cortinas])),"Verifique que sea cama Completa","OK"),"")</f>
        <v/>
      </c>
    </row>
    <row r="100" spans="1:13" x14ac:dyDescent="0.35">
      <c r="A100" s="31" t="str">
        <f>_xlfn.CONCAT(Tabla20[[#This Row],[Bloque]],Tabla20[[#This Row],[Lado]],Tabla20[[#This Row],[Cama]])</f>
        <v/>
      </c>
      <c r="B100" s="34"/>
      <c r="D100" s="34"/>
      <c r="E100" s="36" t="str">
        <f>IFERROR(_xlfn.XLOOKUP(Tabla20[[#This Row],[Variedades]],Tabla10[Variedad],Tabla10[Flor]),"")</f>
        <v/>
      </c>
      <c r="G100" s="37" t="str">
        <f>IF(Tabla20[[#This Row],[Variedades]]="","",IFERROR(INT(_xlfn.XLOOKUP(_xlfn.CONCAT(Tabla20[[#This Row],[Bloque]],Tabla20[[#This Row],[Lado]],Tabla20[[#This Row],[Cama]]),Info_Camas[Concat],Info_Camas[Lineas/cortina])*Tabla20[[#This Row],[Cortinas]]*Tabla20[[#This Row],[Plantas /Linea]]),"Sin Datos de Cama"))</f>
        <v/>
      </c>
      <c r="H100" s="38"/>
      <c r="I100" s="39"/>
      <c r="K100" s="53"/>
      <c r="L100" s="31" t="str">
        <f>IFERROR(_xlfn.XLOOKUP(Tabla20[[#This Row],[Fecha Siembra]],SemXDias[Dias],SemXDias[Semanas]),"")</f>
        <v/>
      </c>
      <c r="M100" s="31" t="str">
        <f>+IFERROR(IF(AND(Tabla20[[#This Row],[Cama Completa]]="si",Tabla20[[#This Row],[Cortinas]]&lt;&gt;_xlfn.XLOOKUP(A100,Info_Camas[Concat],Info_Camas[Cortinas])),"Verifique que sea cama Completa","OK"),"")</f>
        <v/>
      </c>
    </row>
  </sheetData>
  <sheetProtection sheet="1" selectLockedCells="1" autoFilter="0" pivotTables="0"/>
  <phoneticPr fontId="10" type="noConversion"/>
  <conditionalFormatting sqref="G2:G100">
    <cfRule type="containsText" dxfId="50" priority="3" operator="containsText" text="Sin">
      <formula>NOT(ISERROR(SEARCH("Sin",G2)))</formula>
    </cfRule>
  </conditionalFormatting>
  <conditionalFormatting sqref="M1:M1048576">
    <cfRule type="containsText" dxfId="49" priority="2" operator="containsText" text="Ver">
      <formula>NOT(ISERROR(SEARCH("Ver",M1)))</formula>
    </cfRule>
  </conditionalFormatting>
  <conditionalFormatting sqref="M1:M100">
    <cfRule type="containsText" dxfId="48" priority="1" operator="containsText" text="OK">
      <formula>NOT(ISERROR(SEARCH("OK",M1)))</formula>
    </cfRule>
  </conditionalFormatting>
  <dataValidations count="1">
    <dataValidation type="date" operator="greaterThan" allowBlank="1" showInputMessage="1" showErrorMessage="1" sqref="F101:F1048576 I1 H1:H100" xr:uid="{8706A6A5-C3B7-499C-86A2-8E811B25C390}">
      <formula1>46204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014CFA1-BCA0-4E73-B7C3-CB1172C717FF}">
          <x14:formula1>
            <xm:f>Datos_Base!$C$3:$C$456</xm:f>
          </x14:formula1>
          <xm:sqref>F2:F100</xm:sqref>
        </x14:dataValidation>
        <x14:dataValidation type="list" allowBlank="1" showInputMessage="1" showErrorMessage="1" xr:uid="{09CAB040-A37C-421D-BD1F-40ABE0C5897F}">
          <x14:formula1>
            <xm:f>Datos_Base!$K$3:$K$10</xm:f>
          </x14:formula1>
          <xm:sqref>B3:B100</xm:sqref>
        </x14:dataValidation>
        <x14:dataValidation type="list" allowBlank="1" showInputMessage="1" showErrorMessage="1" xr:uid="{44174CCD-F43E-4AA5-97D9-B98D9482216D}">
          <x14:formula1>
            <xm:f>Datos_Base!$L$3:$L$4</xm:f>
          </x14:formula1>
          <xm:sqref>C2:C100</xm:sqref>
        </x14:dataValidation>
        <x14:dataValidation type="list" allowBlank="1" showInputMessage="1" showErrorMessage="1" xr:uid="{C1EB6F81-A34D-4170-8AD9-7CE695659B90}">
          <x14:formula1>
            <xm:f>Datos_Base!$M$3:$M$202</xm:f>
          </x14:formula1>
          <xm:sqref>D2:D100</xm:sqref>
        </x14:dataValidation>
        <x14:dataValidation type="list" allowBlank="1" showInputMessage="1" showErrorMessage="1" xr:uid="{CAF668A7-61D2-430F-8F1F-50A52E16A102}">
          <x14:formula1>
            <xm:f>Datos_Base!$N$6:$N$7</xm:f>
          </x14:formula1>
          <xm:sqref>I2:I100</xm:sqref>
        </x14:dataValidation>
        <x14:dataValidation type="list" allowBlank="1" showInputMessage="1" showErrorMessage="1" xr:uid="{81FB849A-E4C8-4961-B22A-7EAC485F5600}">
          <x14:formula1>
            <xm:f>Datos_Base!$K$3:$K$202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6639B-7F86-4BE1-B792-CAE43B66A46B}">
  <sheetPr published="0" codeName="Hoja2"/>
  <dimension ref="A1:H28"/>
  <sheetViews>
    <sheetView showGridLines="0" topLeftCell="A7" zoomScale="130" zoomScaleNormal="130" workbookViewId="0">
      <pane activePane="bottomRight" state="frozen"/>
      <selection activeCell="C4" sqref="C4"/>
    </sheetView>
  </sheetViews>
  <sheetFormatPr baseColWidth="10" defaultColWidth="0" defaultRowHeight="10.5" zeroHeight="1" x14ac:dyDescent="0.25"/>
  <cols>
    <col min="1" max="1" width="12" style="42" customWidth="1"/>
    <col min="2" max="2" width="21.875" style="42" bestFit="1" customWidth="1"/>
    <col min="3" max="8" width="12" style="42" customWidth="1"/>
    <col min="9" max="16384" width="12" style="42" hidden="1"/>
  </cols>
  <sheetData>
    <row r="1" spans="1:8" x14ac:dyDescent="0.25">
      <c r="A1" s="43"/>
      <c r="B1" s="44"/>
      <c r="C1" s="44"/>
      <c r="D1" s="44"/>
      <c r="E1" s="44"/>
      <c r="F1" s="44"/>
      <c r="G1" s="44"/>
      <c r="H1" s="45"/>
    </row>
    <row r="2" spans="1:8" x14ac:dyDescent="0.25">
      <c r="A2" s="46"/>
      <c r="H2" s="47"/>
    </row>
    <row r="3" spans="1:8" x14ac:dyDescent="0.25">
      <c r="A3" s="46"/>
      <c r="H3" s="47"/>
    </row>
    <row r="4" spans="1:8" x14ac:dyDescent="0.25">
      <c r="A4" s="46"/>
      <c r="B4" s="42" t="s">
        <v>749</v>
      </c>
      <c r="C4" s="52" t="s">
        <v>750</v>
      </c>
      <c r="H4" s="47"/>
    </row>
    <row r="5" spans="1:8" x14ac:dyDescent="0.25">
      <c r="A5" s="46"/>
      <c r="H5" s="47"/>
    </row>
    <row r="6" spans="1:8" x14ac:dyDescent="0.25">
      <c r="A6" s="46"/>
      <c r="H6" s="47"/>
    </row>
    <row r="7" spans="1:8" x14ac:dyDescent="0.25">
      <c r="A7" s="46"/>
      <c r="H7" s="47"/>
    </row>
    <row r="8" spans="1:8" x14ac:dyDescent="0.25">
      <c r="A8" s="46"/>
      <c r="H8" s="47"/>
    </row>
    <row r="9" spans="1:8" x14ac:dyDescent="0.25">
      <c r="A9" s="46"/>
      <c r="H9" s="47"/>
    </row>
    <row r="10" spans="1:8" x14ac:dyDescent="0.25">
      <c r="A10" s="46"/>
      <c r="H10" s="47"/>
    </row>
    <row r="11" spans="1:8" x14ac:dyDescent="0.25">
      <c r="A11" s="46"/>
      <c r="H11" s="47"/>
    </row>
    <row r="12" spans="1:8" x14ac:dyDescent="0.25">
      <c r="A12" s="46"/>
      <c r="H12" s="47"/>
    </row>
    <row r="13" spans="1:8" x14ac:dyDescent="0.25">
      <c r="A13" s="46"/>
      <c r="H13" s="47"/>
    </row>
    <row r="14" spans="1:8" x14ac:dyDescent="0.25">
      <c r="A14" s="46"/>
      <c r="H14" s="47"/>
    </row>
    <row r="15" spans="1:8" x14ac:dyDescent="0.25">
      <c r="A15" s="46"/>
      <c r="H15" s="47"/>
    </row>
    <row r="16" spans="1:8" x14ac:dyDescent="0.25">
      <c r="A16" s="46"/>
      <c r="H16" s="47"/>
    </row>
    <row r="17" spans="1:8" x14ac:dyDescent="0.25">
      <c r="A17" s="46"/>
      <c r="H17" s="47"/>
    </row>
    <row r="18" spans="1:8" x14ac:dyDescent="0.25">
      <c r="A18" s="46"/>
      <c r="H18" s="47"/>
    </row>
    <row r="19" spans="1:8" x14ac:dyDescent="0.25">
      <c r="A19" s="46"/>
      <c r="H19" s="47"/>
    </row>
    <row r="20" spans="1:8" x14ac:dyDescent="0.25">
      <c r="A20" s="46"/>
      <c r="H20" s="47"/>
    </row>
    <row r="21" spans="1:8" x14ac:dyDescent="0.25">
      <c r="A21" s="46"/>
      <c r="H21" s="47"/>
    </row>
    <row r="22" spans="1:8" x14ac:dyDescent="0.25">
      <c r="A22" s="46"/>
      <c r="H22" s="47"/>
    </row>
    <row r="23" spans="1:8" x14ac:dyDescent="0.25">
      <c r="A23" s="46"/>
      <c r="H23" s="47"/>
    </row>
    <row r="24" spans="1:8" x14ac:dyDescent="0.25">
      <c r="A24" s="46"/>
      <c r="H24" s="47"/>
    </row>
    <row r="25" spans="1:8" x14ac:dyDescent="0.25">
      <c r="A25" s="46"/>
      <c r="H25" s="47"/>
    </row>
    <row r="26" spans="1:8" x14ac:dyDescent="0.25">
      <c r="A26" s="46"/>
      <c r="H26" s="47"/>
    </row>
    <row r="27" spans="1:8" x14ac:dyDescent="0.25">
      <c r="A27" s="46"/>
      <c r="H27" s="47"/>
    </row>
    <row r="28" spans="1:8" ht="11" thickBot="1" x14ac:dyDescent="0.3">
      <c r="A28" s="48"/>
      <c r="B28" s="49"/>
      <c r="C28" s="49"/>
      <c r="D28" s="49"/>
      <c r="E28" s="49"/>
      <c r="F28" s="49"/>
      <c r="G28" s="49"/>
      <c r="H28" s="50"/>
    </row>
  </sheetData>
  <sheetProtection sheet="1" selectLockedCells="1"/>
  <dataValidations count="1">
    <dataValidation allowBlank="1" showInputMessage="1" showErrorMessage="1" promptTitle="Ruta Requerida" prompt="Inserte la ruta de la carpeta de SharePoint de Planos de siembra previamente anclada a Mis Archivos / Explorador de Windows." sqref="C4" xr:uid="{9CE31E10-9260-4AFA-9A4E-0C6B177628E5}"/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C203B-03AC-4BEC-A2FA-1413A2E5D03A}">
  <sheetPr published="0" codeName="Hoja19"/>
  <dimension ref="A1:W103"/>
  <sheetViews>
    <sheetView workbookViewId="0">
      <pane ySplit="3" topLeftCell="A4" activePane="bottomLeft" state="frozen"/>
      <selection pane="bottomLeft" activeCell="B7" sqref="B7"/>
    </sheetView>
  </sheetViews>
  <sheetFormatPr baseColWidth="10" defaultColWidth="11.375" defaultRowHeight="14.5" x14ac:dyDescent="0.35"/>
  <cols>
    <col min="1" max="1" width="12.625" style="18" bestFit="1" customWidth="1"/>
    <col min="2" max="2" width="9.625" style="19" bestFit="1" customWidth="1"/>
    <col min="3" max="3" width="10.375" style="14" bestFit="1" customWidth="1"/>
    <col min="4" max="4" width="20.375" style="14" bestFit="1" customWidth="1"/>
    <col min="5" max="5" width="16.625" style="14" bestFit="1" customWidth="1"/>
    <col min="6" max="6" width="8.125" style="14" bestFit="1" customWidth="1"/>
    <col min="7" max="7" width="18.125" style="14" bestFit="1" customWidth="1"/>
    <col min="8" max="8" width="17.625" style="14" bestFit="1" customWidth="1"/>
    <col min="9" max="9" width="7.375" style="14" bestFit="1" customWidth="1"/>
    <col min="10" max="10" width="28.375" style="14" bestFit="1" customWidth="1"/>
    <col min="11" max="11" width="17.625" style="14" bestFit="1" customWidth="1"/>
    <col min="12" max="12" width="15.125" style="14" bestFit="1" customWidth="1"/>
    <col min="13" max="13" width="19.875" style="14" bestFit="1" customWidth="1"/>
    <col min="14" max="14" width="8.125" style="14" bestFit="1" customWidth="1"/>
    <col min="15" max="15" width="15" style="14" bestFit="1" customWidth="1"/>
    <col min="16" max="16" width="11.375" style="14"/>
    <col min="17" max="18" width="11.375" style="14" bestFit="1" customWidth="1"/>
    <col min="19" max="19" width="11.125" style="14" bestFit="1" customWidth="1"/>
    <col min="20" max="20" width="12.125" style="14" bestFit="1" customWidth="1"/>
    <col min="21" max="21" width="9.125" style="14" bestFit="1" customWidth="1"/>
    <col min="22" max="22" width="14.875" style="14" bestFit="1" customWidth="1"/>
    <col min="23" max="23" width="15.375" style="14" bestFit="1" customWidth="1"/>
    <col min="24" max="16384" width="11.375" style="14"/>
  </cols>
  <sheetData>
    <row r="1" spans="1:23" ht="15" customHeight="1" x14ac:dyDescent="0.35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Q1"/>
      <c r="R1"/>
      <c r="S1"/>
    </row>
    <row r="2" spans="1:23" ht="15" customHeight="1" x14ac:dyDescent="0.3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Q2"/>
      <c r="R2"/>
      <c r="S2"/>
    </row>
    <row r="3" spans="1:23" x14ac:dyDescent="0.35">
      <c r="A3" s="23" t="s">
        <v>724</v>
      </c>
      <c r="B3" s="24" t="s">
        <v>0</v>
      </c>
      <c r="C3" s="25" t="s">
        <v>2</v>
      </c>
      <c r="D3" s="25" t="s">
        <v>725</v>
      </c>
      <c r="E3" s="26" t="s">
        <v>726</v>
      </c>
      <c r="F3" s="25" t="s">
        <v>727</v>
      </c>
      <c r="G3" s="23" t="s">
        <v>728</v>
      </c>
      <c r="H3" s="23" t="s">
        <v>729</v>
      </c>
      <c r="I3" s="25" t="s">
        <v>730</v>
      </c>
      <c r="J3" s="25" t="s">
        <v>731</v>
      </c>
      <c r="K3" s="25" t="s">
        <v>732</v>
      </c>
      <c r="L3" s="25" t="s">
        <v>733</v>
      </c>
      <c r="M3" s="25" t="s">
        <v>734</v>
      </c>
      <c r="N3" s="27" t="s">
        <v>735</v>
      </c>
      <c r="Q3"/>
    </row>
    <row r="4" spans="1:23" x14ac:dyDescent="0.35">
      <c r="A4" s="11" t="str">
        <f>IF(Siembras!B2="","",_xlfn.CONCAT(Siembras!B2,":",IF(ROUNDUP(Siembras!D2/4,0)&lt;10,_xlfn.CONCAT(0,ROUNDUP(Siembras!D2/4,0)),ROUNDUP(Siembras!D2/4,0)),":",Siembras!C2,":",Siembras!D2))</f>
        <v>04:08:B:029</v>
      </c>
      <c r="B4" s="28" t="str">
        <f>+IF(Siembras!E2="","",Siembras!E2)</f>
        <v>Cushion</v>
      </c>
      <c r="C4" s="28" t="str">
        <f>+IF(Siembras!F2="","",Siembras!F2)</f>
        <v>Skylie</v>
      </c>
      <c r="D4" s="13">
        <f>+IF(Siembras!G2="","",Siembras!G2)</f>
        <v>4940</v>
      </c>
      <c r="E4" s="29">
        <f>+IF(Siembras!H2="","",Siembras!H2)</f>
        <v>46300</v>
      </c>
      <c r="F4" s="28" t="str">
        <f>+IF(Plantilla_Siembras[[#This Row],[Posición]]="","",IF(Siembras!I2="No","1","0"))</f>
        <v>0</v>
      </c>
      <c r="G4" s="11" t="str">
        <f>IF(Plantilla_Siembras[[#This Row],[Posición]]="","","Produccion")</f>
        <v>Produccion</v>
      </c>
      <c r="H4" s="11" t="str">
        <f>IF(Plantilla_Siembras[[#This Row],[Fecha Siembra]]="","",_xlfn.CONCAT(PROPER(TEXT(Plantilla_Siembras[[#This Row],[Fecha Siembra]]+(13*7),"mmmm")),"|",YEAR(Plantilla_Siembras[[#This Row],[Fecha Siembra]]+(13*7))))</f>
        <v>Enero|2027</v>
      </c>
      <c r="I4" s="13"/>
      <c r="J4" s="13"/>
      <c r="K4" s="11" t="str">
        <f>IF(Plantilla_Siembras[[#This Row],[Posición]]="","","Vegetativo")</f>
        <v>Vegetativo</v>
      </c>
      <c r="L4" s="11" t="str">
        <f>IF(Plantilla_Siembras[[#This Row],[Posición]]="","","No")</f>
        <v>No</v>
      </c>
      <c r="M4" s="11" t="str">
        <f>IF(Plantilla_Siembras[[#This Row],[Posición]]="","","Suelo")</f>
        <v>Suelo</v>
      </c>
      <c r="N4" s="20"/>
      <c r="Q4"/>
    </row>
    <row r="5" spans="1:23" x14ac:dyDescent="0.35">
      <c r="A5" s="11" t="str">
        <f>IF(Siembras!B3="","",_xlfn.CONCAT(Siembras!B3,":",IF(ROUNDUP(Siembras!D3/4,0)&lt;10,_xlfn.CONCAT(0,ROUNDUP(Siembras!D3/4,0)),ROUNDUP(Siembras!D3/4,0)),":",Siembras!C3,":",Siembras!D3))</f>
        <v>04:08:B:030</v>
      </c>
      <c r="B5" s="12" t="str">
        <f>+IF(Siembras!E3="","",Siembras!E3)</f>
        <v>Cushion</v>
      </c>
      <c r="C5" s="13" t="str">
        <f>+IF(Siembras!F3="","",Siembras!F3)</f>
        <v>Skylie</v>
      </c>
      <c r="D5" s="13">
        <f>+IF(Siembras!G3="","",Siembras!G3)</f>
        <v>4940</v>
      </c>
      <c r="E5" s="21">
        <f>+IF(Siembras!H3="","",Siembras!H3)</f>
        <v>46300</v>
      </c>
      <c r="F5" s="13" t="str">
        <f>+IF(Plantilla_Siembras[[#This Row],[Posición]]="","",IF(Siembras!I3="No","1","0"))</f>
        <v>0</v>
      </c>
      <c r="G5" s="11" t="str">
        <f>IF(Plantilla_Siembras[[#This Row],[Posición]]="","","Produccion")</f>
        <v>Produccion</v>
      </c>
      <c r="H5" s="11" t="str">
        <f>IF(Plantilla_Siembras[[#This Row],[Fecha Siembra]]="","",_xlfn.CONCAT(PROPER(TEXT(Plantilla_Siembras[[#This Row],[Fecha Siembra]]+(13*7),"mmmm")),"|",YEAR(Plantilla_Siembras[[#This Row],[Fecha Siembra]]+(13*7))))</f>
        <v>Enero|2027</v>
      </c>
      <c r="I5" s="13"/>
      <c r="J5" s="13"/>
      <c r="K5" s="11" t="str">
        <f>IF(Plantilla_Siembras[[#This Row],[Posición]]="","","Vegetativo")</f>
        <v>Vegetativo</v>
      </c>
      <c r="L5" s="11" t="str">
        <f>IF(Plantilla_Siembras[[#This Row],[Posición]]="","","No")</f>
        <v>No</v>
      </c>
      <c r="M5" s="11" t="str">
        <f>IF(Plantilla_Siembras[[#This Row],[Posición]]="","","Suelo")</f>
        <v>Suelo</v>
      </c>
      <c r="N5" s="20"/>
      <c r="Q5"/>
    </row>
    <row r="6" spans="1:23" x14ac:dyDescent="0.35">
      <c r="A6" s="11" t="str">
        <f>IF(Siembras!B4="","",_xlfn.CONCAT(Siembras!B4,":",IF(ROUNDUP(Siembras!D4/4,0)&lt;10,_xlfn.CONCAT(0,ROUNDUP(Siembras!D4/4,0)),ROUNDUP(Siembras!D4/4,0)),":",Siembras!C4,":",Siembras!D4))</f>
        <v>04:08:B:031</v>
      </c>
      <c r="B6" s="12" t="str">
        <f>+IF(Siembras!E4="","",Siembras!E4)</f>
        <v>Cushion</v>
      </c>
      <c r="C6" s="13" t="str">
        <f>+IF(Siembras!F4="","",Siembras!F4)</f>
        <v>Skylie</v>
      </c>
      <c r="D6" s="13">
        <f>+IF(Siembras!G4="","",Siembras!G4)</f>
        <v>4966</v>
      </c>
      <c r="E6" s="21">
        <f>+IF(Siembras!H4="","",Siembras!H4)</f>
        <v>46300</v>
      </c>
      <c r="F6" s="13" t="str">
        <f>+IF(Plantilla_Siembras[[#This Row],[Posición]]="","",IF(Siembras!I4="No","1","0"))</f>
        <v>0</v>
      </c>
      <c r="G6" s="11" t="str">
        <f>IF(Plantilla_Siembras[[#This Row],[Posición]]="","","Produccion")</f>
        <v>Produccion</v>
      </c>
      <c r="H6" s="11" t="str">
        <f>IF(Plantilla_Siembras[[#This Row],[Fecha Siembra]]="","",_xlfn.CONCAT(PROPER(TEXT(Plantilla_Siembras[[#This Row],[Fecha Siembra]]+(13*7),"mmmm")),"|",YEAR(Plantilla_Siembras[[#This Row],[Fecha Siembra]]+(13*7))))</f>
        <v>Enero|2027</v>
      </c>
      <c r="I6" s="13"/>
      <c r="J6" s="13"/>
      <c r="K6" s="11" t="str">
        <f>IF(Plantilla_Siembras[[#This Row],[Posición]]="","","Vegetativo")</f>
        <v>Vegetativo</v>
      </c>
      <c r="L6" s="11" t="str">
        <f>IF(Plantilla_Siembras[[#This Row],[Posición]]="","","No")</f>
        <v>No</v>
      </c>
      <c r="M6" s="11" t="str">
        <f>IF(Plantilla_Siembras[[#This Row],[Posición]]="","","Suelo")</f>
        <v>Suelo</v>
      </c>
      <c r="N6" s="20"/>
      <c r="Q6"/>
    </row>
    <row r="7" spans="1:23" x14ac:dyDescent="0.35">
      <c r="A7" s="11" t="str">
        <f>IF(Siembras!B5="","",_xlfn.CONCAT(Siembras!B5,":",IF(ROUNDUP(Siembras!D5/4,0)&lt;10,_xlfn.CONCAT(0,ROUNDUP(Siembras!D5/4,0)),ROUNDUP(Siembras!D5/4,0)),":",Siembras!C5,":",Siembras!D5))</f>
        <v>04:08:B:032</v>
      </c>
      <c r="B7" s="12" t="str">
        <f>+IF(Siembras!E5="","",Siembras!E5)</f>
        <v>Cushion</v>
      </c>
      <c r="C7" s="13" t="str">
        <f>+IF(Siembras!F5="","",Siembras!F5)</f>
        <v>Skylie</v>
      </c>
      <c r="D7" s="13">
        <f>+IF(Siembras!G5="","",Siembras!G5)</f>
        <v>4472</v>
      </c>
      <c r="E7" s="21">
        <f>+IF(Siembras!H5="","",Siembras!H5)</f>
        <v>46300</v>
      </c>
      <c r="F7" s="13" t="str">
        <f>+IF(Plantilla_Siembras[[#This Row],[Posición]]="","",IF(Siembras!I5="No","1","0"))</f>
        <v>0</v>
      </c>
      <c r="G7" s="11" t="str">
        <f>IF(Plantilla_Siembras[[#This Row],[Posición]]="","","Produccion")</f>
        <v>Produccion</v>
      </c>
      <c r="H7" s="11" t="str">
        <f>IF(Plantilla_Siembras[[#This Row],[Fecha Siembra]]="","",_xlfn.CONCAT(PROPER(TEXT(Plantilla_Siembras[[#This Row],[Fecha Siembra]]+(13*7),"mmmm")),"|",YEAR(Plantilla_Siembras[[#This Row],[Fecha Siembra]]+(13*7))))</f>
        <v>Enero|2027</v>
      </c>
      <c r="I7" s="13"/>
      <c r="J7" s="13"/>
      <c r="K7" s="11" t="str">
        <f>IF(Plantilla_Siembras[[#This Row],[Posición]]="","","Vegetativo")</f>
        <v>Vegetativo</v>
      </c>
      <c r="L7" s="11" t="str">
        <f>IF(Plantilla_Siembras[[#This Row],[Posición]]="","","No")</f>
        <v>No</v>
      </c>
      <c r="M7" s="11" t="str">
        <f>IF(Plantilla_Siembras[[#This Row],[Posición]]="","","Suelo")</f>
        <v>Suelo</v>
      </c>
      <c r="N7" s="20"/>
      <c r="Q7"/>
      <c r="R7"/>
      <c r="S7"/>
      <c r="T7"/>
      <c r="U7"/>
      <c r="V7"/>
      <c r="W7"/>
    </row>
    <row r="8" spans="1:23" x14ac:dyDescent="0.35">
      <c r="A8" s="11" t="str">
        <f>IF(Siembras!B6="","",_xlfn.CONCAT(Siembras!B6,":",IF(ROUNDUP(Siembras!D6/4,0)&lt;10,_xlfn.CONCAT(0,ROUNDUP(Siembras!D6/4,0)),ROUNDUP(Siembras!D6/4,0)),":",Siembras!C6,":",Siembras!D6))</f>
        <v>04:09:B:033</v>
      </c>
      <c r="B8" s="12" t="str">
        <f>+IF(Siembras!E6="","",Siembras!E6)</f>
        <v>Cushion</v>
      </c>
      <c r="C8" s="13" t="str">
        <f>+IF(Siembras!F6="","",Siembras!F6)</f>
        <v>Skylie</v>
      </c>
      <c r="D8" s="13">
        <f>+IF(Siembras!G6="","",Siembras!G6)</f>
        <v>4602</v>
      </c>
      <c r="E8" s="21">
        <f>+IF(Siembras!H6="","",Siembras!H6)</f>
        <v>46300</v>
      </c>
      <c r="F8" s="13" t="str">
        <f>+IF(Plantilla_Siembras[[#This Row],[Posición]]="","",IF(Siembras!I6="No","1","0"))</f>
        <v>0</v>
      </c>
      <c r="G8" s="11" t="str">
        <f>IF(Plantilla_Siembras[[#This Row],[Posición]]="","","Produccion")</f>
        <v>Produccion</v>
      </c>
      <c r="H8" s="11" t="str">
        <f>IF(Plantilla_Siembras[[#This Row],[Fecha Siembra]]="","",_xlfn.CONCAT(PROPER(TEXT(Plantilla_Siembras[[#This Row],[Fecha Siembra]]+(13*7),"mmmm")),"|",YEAR(Plantilla_Siembras[[#This Row],[Fecha Siembra]]+(13*7))))</f>
        <v>Enero|2027</v>
      </c>
      <c r="I8" s="13"/>
      <c r="J8" s="13"/>
      <c r="K8" s="11" t="str">
        <f>IF(Plantilla_Siembras[[#This Row],[Posición]]="","","Vegetativo")</f>
        <v>Vegetativo</v>
      </c>
      <c r="L8" s="11" t="str">
        <f>IF(Plantilla_Siembras[[#This Row],[Posición]]="","","No")</f>
        <v>No</v>
      </c>
      <c r="M8" s="11" t="str">
        <f>IF(Plantilla_Siembras[[#This Row],[Posición]]="","","Suelo")</f>
        <v>Suelo</v>
      </c>
      <c r="N8" s="20"/>
      <c r="Q8"/>
      <c r="R8"/>
      <c r="S8"/>
      <c r="T8"/>
      <c r="U8"/>
      <c r="V8"/>
      <c r="W8"/>
    </row>
    <row r="9" spans="1:23" x14ac:dyDescent="0.35">
      <c r="A9" s="11" t="str">
        <f>IF(Siembras!B7="","",_xlfn.CONCAT(Siembras!B7,":",IF(ROUNDUP(Siembras!D7/4,0)&lt;10,_xlfn.CONCAT(0,ROUNDUP(Siembras!D7/4,0)),ROUNDUP(Siembras!D7/4,0)),":",Siembras!C7,":",Siembras!D7))</f>
        <v>04:09:B:034</v>
      </c>
      <c r="B9" s="12" t="str">
        <f>+IF(Siembras!E7="","",Siembras!E7)</f>
        <v>Cushion</v>
      </c>
      <c r="C9" s="13" t="str">
        <f>+IF(Siembras!F7="","",Siembras!F7)</f>
        <v>Skylie</v>
      </c>
      <c r="D9" s="13">
        <f>+IF(Siembras!G7="","",Siembras!G7)</f>
        <v>4576</v>
      </c>
      <c r="E9" s="21">
        <f>+IF(Siembras!H7="","",Siembras!H7)</f>
        <v>46300</v>
      </c>
      <c r="F9" s="13" t="str">
        <f>+IF(Plantilla_Siembras[[#This Row],[Posición]]="","",IF(Siembras!I7="No","1","0"))</f>
        <v>0</v>
      </c>
      <c r="G9" s="11" t="str">
        <f>IF(Plantilla_Siembras[[#This Row],[Posición]]="","","Produccion")</f>
        <v>Produccion</v>
      </c>
      <c r="H9" s="11" t="str">
        <f>IF(Plantilla_Siembras[[#This Row],[Fecha Siembra]]="","",_xlfn.CONCAT(PROPER(TEXT(Plantilla_Siembras[[#This Row],[Fecha Siembra]]+(13*7),"mmmm")),"|",YEAR(Plantilla_Siembras[[#This Row],[Fecha Siembra]]+(13*7))))</f>
        <v>Enero|2027</v>
      </c>
      <c r="I9" s="13"/>
      <c r="J9" s="13"/>
      <c r="K9" s="11" t="str">
        <f>IF(Plantilla_Siembras[[#This Row],[Posición]]="","","Vegetativo")</f>
        <v>Vegetativo</v>
      </c>
      <c r="L9" s="11" t="str">
        <f>IF(Plantilla_Siembras[[#This Row],[Posición]]="","","No")</f>
        <v>No</v>
      </c>
      <c r="M9" s="11" t="str">
        <f>IF(Plantilla_Siembras[[#This Row],[Posición]]="","","Suelo")</f>
        <v>Suelo</v>
      </c>
      <c r="N9" s="20"/>
      <c r="Q9"/>
      <c r="R9"/>
      <c r="S9"/>
      <c r="T9"/>
      <c r="U9"/>
      <c r="V9"/>
      <c r="W9"/>
    </row>
    <row r="10" spans="1:23" x14ac:dyDescent="0.35">
      <c r="A10" s="11" t="str">
        <f>IF(Siembras!B8="","",_xlfn.CONCAT(Siembras!B8,":",IF(ROUNDUP(Siembras!D8/4,0)&lt;10,_xlfn.CONCAT(0,ROUNDUP(Siembras!D8/4,0)),ROUNDUP(Siembras!D8/4,0)),":",Siembras!C8,":",Siembras!D8))</f>
        <v>04:09:B:035</v>
      </c>
      <c r="B10" s="12" t="str">
        <f>+IF(Siembras!E8="","",Siembras!E8)</f>
        <v>Cushion</v>
      </c>
      <c r="C10" s="13" t="str">
        <f>+IF(Siembras!F8="","",Siembras!F8)</f>
        <v>Skylie</v>
      </c>
      <c r="D10" s="13">
        <f>+IF(Siembras!G8="","",Siembras!G8)</f>
        <v>4602</v>
      </c>
      <c r="E10" s="21">
        <f>+IF(Siembras!H8="","",Siembras!H8)</f>
        <v>46300</v>
      </c>
      <c r="F10" s="13" t="str">
        <f>+IF(Plantilla_Siembras[[#This Row],[Posición]]="","",IF(Siembras!I8="No","1","0"))</f>
        <v>0</v>
      </c>
      <c r="G10" s="11" t="str">
        <f>IF(Plantilla_Siembras[[#This Row],[Posición]]="","","Produccion")</f>
        <v>Produccion</v>
      </c>
      <c r="H10" s="11" t="str">
        <f>IF(Plantilla_Siembras[[#This Row],[Fecha Siembra]]="","",_xlfn.CONCAT(PROPER(TEXT(Plantilla_Siembras[[#This Row],[Fecha Siembra]]+(13*7),"mmmm")),"|",YEAR(Plantilla_Siembras[[#This Row],[Fecha Siembra]]+(13*7))))</f>
        <v>Enero|2027</v>
      </c>
      <c r="I10" s="13"/>
      <c r="J10" s="13"/>
      <c r="K10" s="11" t="str">
        <f>IF(Plantilla_Siembras[[#This Row],[Posición]]="","","Vegetativo")</f>
        <v>Vegetativo</v>
      </c>
      <c r="L10" s="11" t="str">
        <f>IF(Plantilla_Siembras[[#This Row],[Posición]]="","","No")</f>
        <v>No</v>
      </c>
      <c r="M10" s="11" t="str">
        <f>IF(Plantilla_Siembras[[#This Row],[Posición]]="","","Suelo")</f>
        <v>Suelo</v>
      </c>
      <c r="N10" s="20"/>
      <c r="Q10"/>
      <c r="R10"/>
      <c r="S10"/>
      <c r="T10"/>
      <c r="U10"/>
      <c r="V10"/>
      <c r="W10"/>
    </row>
    <row r="11" spans="1:23" x14ac:dyDescent="0.35">
      <c r="A11" s="11" t="str">
        <f>IF(Siembras!B9="","",_xlfn.CONCAT(Siembras!B9,":",IF(ROUNDUP(Siembras!D9/4,0)&lt;10,_xlfn.CONCAT(0,ROUNDUP(Siembras!D9/4,0)),ROUNDUP(Siembras!D9/4,0)),":",Siembras!C9,":",Siembras!D9))</f>
        <v/>
      </c>
      <c r="B11" s="12" t="str">
        <f>+IF(Siembras!E9="","",Siembras!E9)</f>
        <v/>
      </c>
      <c r="C11" s="13" t="str">
        <f>+IF(Siembras!F9="","",Siembras!F9)</f>
        <v/>
      </c>
      <c r="D11" s="13" t="str">
        <f>+IF(Siembras!G9="","",Siembras!G9)</f>
        <v/>
      </c>
      <c r="E11" s="21" t="str">
        <f>+IF(Siembras!H9="","",Siembras!H9)</f>
        <v/>
      </c>
      <c r="F11" s="13" t="str">
        <f>+IF(Plantilla_Siembras[[#This Row],[Posición]]="","",IF(Siembras!I9="No","1","0"))</f>
        <v/>
      </c>
      <c r="G11" s="11" t="str">
        <f>IF(Plantilla_Siembras[[#This Row],[Posición]]="","","Produccion")</f>
        <v/>
      </c>
      <c r="H11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11" s="13"/>
      <c r="J11" s="13"/>
      <c r="K11" s="11" t="str">
        <f>IF(Plantilla_Siembras[[#This Row],[Posición]]="","","Vegetativo")</f>
        <v/>
      </c>
      <c r="L11" s="11" t="str">
        <f>IF(Plantilla_Siembras[[#This Row],[Posición]]="","","No")</f>
        <v/>
      </c>
      <c r="M11" s="11" t="str">
        <f>IF(Plantilla_Siembras[[#This Row],[Posición]]="","","Suelo")</f>
        <v/>
      </c>
      <c r="N11" s="20"/>
      <c r="Q11"/>
      <c r="R11"/>
      <c r="S11"/>
      <c r="T11"/>
      <c r="U11"/>
      <c r="V11"/>
    </row>
    <row r="12" spans="1:23" x14ac:dyDescent="0.35">
      <c r="A12" s="11" t="str">
        <f>IF(Siembras!B10="","",_xlfn.CONCAT(Siembras!B10,":",IF(ROUNDUP(Siembras!D10/4,0)&lt;10,_xlfn.CONCAT(0,ROUNDUP(Siembras!D10/4,0)),ROUNDUP(Siembras!D10/4,0)),":",Siembras!C10,":",Siembras!D10))</f>
        <v/>
      </c>
      <c r="B12" s="12" t="str">
        <f>+IF(Siembras!E10="","",Siembras!E10)</f>
        <v/>
      </c>
      <c r="C12" s="13" t="str">
        <f>+IF(Siembras!F10="","",Siembras!F10)</f>
        <v/>
      </c>
      <c r="D12" s="13" t="str">
        <f>+IF(Siembras!G10="","",Siembras!G10)</f>
        <v/>
      </c>
      <c r="E12" s="21" t="str">
        <f>+IF(Siembras!H10="","",Siembras!H10)</f>
        <v/>
      </c>
      <c r="F12" s="13" t="str">
        <f>+IF(Plantilla_Siembras[[#This Row],[Posición]]="","",IF(Siembras!I10="No","1","0"))</f>
        <v/>
      </c>
      <c r="G12" s="11" t="str">
        <f>IF(Plantilla_Siembras[[#This Row],[Posición]]="","","Produccion")</f>
        <v/>
      </c>
      <c r="H12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12" s="13"/>
      <c r="J12" s="13"/>
      <c r="K12" s="11" t="str">
        <f>IF(Plantilla_Siembras[[#This Row],[Posición]]="","","Vegetativo")</f>
        <v/>
      </c>
      <c r="L12" s="11" t="str">
        <f>IF(Plantilla_Siembras[[#This Row],[Posición]]="","","No")</f>
        <v/>
      </c>
      <c r="M12" s="11" t="str">
        <f>IF(Plantilla_Siembras[[#This Row],[Posición]]="","","Suelo")</f>
        <v/>
      </c>
      <c r="N12" s="20"/>
      <c r="Q12"/>
      <c r="R12"/>
      <c r="S12"/>
      <c r="T12"/>
      <c r="U12"/>
      <c r="V12"/>
    </row>
    <row r="13" spans="1:23" x14ac:dyDescent="0.35">
      <c r="A13" s="11" t="str">
        <f>IF(Siembras!B11="","",_xlfn.CONCAT(Siembras!B11,":",IF(ROUNDUP(Siembras!D11/4,0)&lt;10,_xlfn.CONCAT(0,ROUNDUP(Siembras!D11/4,0)),ROUNDUP(Siembras!D11/4,0)),":",Siembras!C11,":",Siembras!D11))</f>
        <v/>
      </c>
      <c r="B13" s="12" t="str">
        <f>+IF(Siembras!E11="","",Siembras!E11)</f>
        <v/>
      </c>
      <c r="C13" s="13" t="str">
        <f>+IF(Siembras!F11="","",Siembras!F11)</f>
        <v/>
      </c>
      <c r="D13" s="13" t="str">
        <f>+IF(Siembras!G11="","",Siembras!G11)</f>
        <v/>
      </c>
      <c r="E13" s="21" t="str">
        <f>+IF(Siembras!H11="","",Siembras!H11)</f>
        <v/>
      </c>
      <c r="F13" s="13" t="str">
        <f>+IF(Plantilla_Siembras[[#This Row],[Posición]]="","",IF(Siembras!I11="No","1","0"))</f>
        <v/>
      </c>
      <c r="G13" s="11" t="str">
        <f>IF(Plantilla_Siembras[[#This Row],[Posición]]="","","Produccion")</f>
        <v/>
      </c>
      <c r="H13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13" s="13"/>
      <c r="J13" s="13"/>
      <c r="K13" s="11" t="str">
        <f>IF(Plantilla_Siembras[[#This Row],[Posición]]="","","Vegetativo")</f>
        <v/>
      </c>
      <c r="L13" s="11" t="str">
        <f>IF(Plantilla_Siembras[[#This Row],[Posición]]="","","No")</f>
        <v/>
      </c>
      <c r="M13" s="11" t="str">
        <f>IF(Plantilla_Siembras[[#This Row],[Posición]]="","","Suelo")</f>
        <v/>
      </c>
      <c r="N13" s="20"/>
      <c r="Q13"/>
      <c r="R13"/>
      <c r="S13"/>
      <c r="T13"/>
      <c r="U13"/>
      <c r="V13"/>
    </row>
    <row r="14" spans="1:23" x14ac:dyDescent="0.35">
      <c r="A14" s="11" t="str">
        <f>IF(Siembras!B12="","",_xlfn.CONCAT(Siembras!B12,":",IF(ROUNDUP(Siembras!D12/4,0)&lt;10,_xlfn.CONCAT(0,ROUNDUP(Siembras!D12/4,0)),ROUNDUP(Siembras!D12/4,0)),":",Siembras!C12,":",Siembras!D12))</f>
        <v/>
      </c>
      <c r="B14" s="12" t="str">
        <f>+IF(Siembras!E12="","",Siembras!E12)</f>
        <v/>
      </c>
      <c r="C14" s="13" t="str">
        <f>+IF(Siembras!F12="","",Siembras!F12)</f>
        <v/>
      </c>
      <c r="D14" s="13" t="str">
        <f>+IF(Siembras!G12="","",Siembras!G12)</f>
        <v/>
      </c>
      <c r="E14" s="21" t="str">
        <f>+IF(Siembras!H12="","",Siembras!H12)</f>
        <v/>
      </c>
      <c r="F14" s="13" t="str">
        <f>+IF(Plantilla_Siembras[[#This Row],[Posición]]="","",IF(Siembras!I12="No","1","0"))</f>
        <v/>
      </c>
      <c r="G14" s="11" t="str">
        <f>IF(Plantilla_Siembras[[#This Row],[Posición]]="","","Produccion")</f>
        <v/>
      </c>
      <c r="H14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14" s="13"/>
      <c r="J14" s="13"/>
      <c r="K14" s="11" t="str">
        <f>IF(Plantilla_Siembras[[#This Row],[Posición]]="","","Vegetativo")</f>
        <v/>
      </c>
      <c r="L14" s="11" t="str">
        <f>IF(Plantilla_Siembras[[#This Row],[Posición]]="","","No")</f>
        <v/>
      </c>
      <c r="M14" s="11" t="str">
        <f>IF(Plantilla_Siembras[[#This Row],[Posición]]="","","Suelo")</f>
        <v/>
      </c>
      <c r="N14" s="20"/>
      <c r="Q14"/>
      <c r="R14"/>
      <c r="S14"/>
      <c r="T14"/>
      <c r="U14"/>
      <c r="V14"/>
    </row>
    <row r="15" spans="1:23" x14ac:dyDescent="0.35">
      <c r="A15" s="11" t="str">
        <f>IF(Siembras!B13="","",_xlfn.CONCAT(Siembras!B13,":",IF(ROUNDUP(Siembras!D13/4,0)&lt;10,_xlfn.CONCAT(0,ROUNDUP(Siembras!D13/4,0)),ROUNDUP(Siembras!D13/4,0)),":",Siembras!C13,":",Siembras!D13))</f>
        <v/>
      </c>
      <c r="B15" s="12" t="str">
        <f>+IF(Siembras!E13="","",Siembras!E13)</f>
        <v/>
      </c>
      <c r="C15" s="13" t="str">
        <f>+IF(Siembras!F13="","",Siembras!F13)</f>
        <v/>
      </c>
      <c r="D15" s="13" t="str">
        <f>+IF(Siembras!G13="","",Siembras!G13)</f>
        <v/>
      </c>
      <c r="E15" s="21" t="str">
        <f>+IF(Siembras!H13="","",Siembras!H13)</f>
        <v/>
      </c>
      <c r="F15" s="13" t="str">
        <f>+IF(Plantilla_Siembras[[#This Row],[Posición]]="","",IF(Siembras!I13="No","1","0"))</f>
        <v/>
      </c>
      <c r="G15" s="11" t="str">
        <f>IF(Plantilla_Siembras[[#This Row],[Posición]]="","","Produccion")</f>
        <v/>
      </c>
      <c r="H15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15" s="13"/>
      <c r="J15" s="13"/>
      <c r="K15" s="11" t="str">
        <f>IF(Plantilla_Siembras[[#This Row],[Posición]]="","","Vegetativo")</f>
        <v/>
      </c>
      <c r="L15" s="11" t="str">
        <f>IF(Plantilla_Siembras[[#This Row],[Posición]]="","","No")</f>
        <v/>
      </c>
      <c r="M15" s="11" t="str">
        <f>IF(Plantilla_Siembras[[#This Row],[Posición]]="","","Suelo")</f>
        <v/>
      </c>
      <c r="N15" s="20"/>
      <c r="Q15"/>
      <c r="R15"/>
      <c r="S15"/>
      <c r="T15"/>
      <c r="U15"/>
      <c r="V15"/>
    </row>
    <row r="16" spans="1:23" x14ac:dyDescent="0.35">
      <c r="A16" s="11" t="str">
        <f>IF(Siembras!B14="","",_xlfn.CONCAT(Siembras!B14,":",IF(ROUNDUP(Siembras!D14/4,0)&lt;10,_xlfn.CONCAT(0,ROUNDUP(Siembras!D14/4,0)),ROUNDUP(Siembras!D14/4,0)),":",Siembras!C14,":",Siembras!D14))</f>
        <v/>
      </c>
      <c r="B16" s="12" t="str">
        <f>+IF(Siembras!E14="","",Siembras!E14)</f>
        <v/>
      </c>
      <c r="C16" s="13" t="str">
        <f>+IF(Siembras!F14="","",Siembras!F14)</f>
        <v/>
      </c>
      <c r="D16" s="13" t="str">
        <f>+IF(Siembras!G14="","",Siembras!G14)</f>
        <v/>
      </c>
      <c r="E16" s="21" t="str">
        <f>+IF(Siembras!H14="","",Siembras!H14)</f>
        <v/>
      </c>
      <c r="F16" s="13" t="str">
        <f>+IF(Plantilla_Siembras[[#This Row],[Posición]]="","",IF(Siembras!I14="No","1","0"))</f>
        <v/>
      </c>
      <c r="G16" s="11" t="str">
        <f>IF(Plantilla_Siembras[[#This Row],[Posición]]="","","Produccion")</f>
        <v/>
      </c>
      <c r="H16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16" s="13"/>
      <c r="J16" s="13"/>
      <c r="K16" s="11" t="str">
        <f>IF(Plantilla_Siembras[[#This Row],[Posición]]="","","Vegetativo")</f>
        <v/>
      </c>
      <c r="L16" s="11" t="str">
        <f>IF(Plantilla_Siembras[[#This Row],[Posición]]="","","No")</f>
        <v/>
      </c>
      <c r="M16" s="11" t="str">
        <f>IF(Plantilla_Siembras[[#This Row],[Posición]]="","","Suelo")</f>
        <v/>
      </c>
      <c r="N16" s="20"/>
      <c r="Q16"/>
      <c r="R16"/>
      <c r="S16"/>
      <c r="T16"/>
      <c r="U16"/>
      <c r="V16"/>
    </row>
    <row r="17" spans="1:22" x14ac:dyDescent="0.35">
      <c r="A17" s="11" t="str">
        <f>IF(Siembras!B15="","",_xlfn.CONCAT(Siembras!B15,":",IF(ROUNDUP(Siembras!D15/4,0)&lt;10,_xlfn.CONCAT(0,ROUNDUP(Siembras!D15/4,0)),ROUNDUP(Siembras!D15/4,0)),":",Siembras!C15,":",Siembras!D15))</f>
        <v/>
      </c>
      <c r="B17" s="12" t="str">
        <f>+IF(Siembras!E15="","",Siembras!E15)</f>
        <v/>
      </c>
      <c r="C17" s="13" t="str">
        <f>+IF(Siembras!F15="","",Siembras!F15)</f>
        <v/>
      </c>
      <c r="D17" s="13" t="str">
        <f>+IF(Siembras!G15="","",Siembras!G15)</f>
        <v/>
      </c>
      <c r="E17" s="21" t="str">
        <f>+IF(Siembras!H15="","",Siembras!H15)</f>
        <v/>
      </c>
      <c r="F17" s="13" t="str">
        <f>+IF(Plantilla_Siembras[[#This Row],[Posición]]="","",IF(Siembras!I15="No","1","0"))</f>
        <v/>
      </c>
      <c r="G17" s="11" t="str">
        <f>IF(Plantilla_Siembras[[#This Row],[Posición]]="","","Produccion")</f>
        <v/>
      </c>
      <c r="H17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17" s="13"/>
      <c r="J17" s="13"/>
      <c r="K17" s="11" t="str">
        <f>IF(Plantilla_Siembras[[#This Row],[Posición]]="","","Vegetativo")</f>
        <v/>
      </c>
      <c r="L17" s="11" t="str">
        <f>IF(Plantilla_Siembras[[#This Row],[Posición]]="","","No")</f>
        <v/>
      </c>
      <c r="M17" s="11" t="str">
        <f>IF(Plantilla_Siembras[[#This Row],[Posición]]="","","Suelo")</f>
        <v/>
      </c>
      <c r="N17" s="20"/>
      <c r="Q17"/>
      <c r="R17"/>
      <c r="S17"/>
      <c r="T17"/>
      <c r="U17"/>
      <c r="V17"/>
    </row>
    <row r="18" spans="1:22" x14ac:dyDescent="0.35">
      <c r="A18" s="11" t="str">
        <f>IF(Siembras!B16="","",_xlfn.CONCAT(Siembras!B16,":",IF(ROUNDUP(Siembras!D16/4,0)&lt;10,_xlfn.CONCAT(0,ROUNDUP(Siembras!D16/4,0)),ROUNDUP(Siembras!D16/4,0)),":",Siembras!C16,":",Siembras!D16))</f>
        <v/>
      </c>
      <c r="B18" s="12" t="str">
        <f>+IF(Siembras!E16="","",Siembras!E16)</f>
        <v/>
      </c>
      <c r="C18" s="13" t="str">
        <f>+IF(Siembras!F16="","",Siembras!F16)</f>
        <v/>
      </c>
      <c r="D18" s="13" t="str">
        <f>+IF(Siembras!G16="","",Siembras!G16)</f>
        <v/>
      </c>
      <c r="E18" s="21" t="str">
        <f>+IF(Siembras!H16="","",Siembras!H16)</f>
        <v/>
      </c>
      <c r="F18" s="13" t="str">
        <f>+IF(Plantilla_Siembras[[#This Row],[Posición]]="","",IF(Siembras!I16="No","1","0"))</f>
        <v/>
      </c>
      <c r="G18" s="11" t="str">
        <f>IF(Plantilla_Siembras[[#This Row],[Posición]]="","","Produccion")</f>
        <v/>
      </c>
      <c r="H18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18" s="13"/>
      <c r="J18" s="13"/>
      <c r="K18" s="11" t="str">
        <f>IF(Plantilla_Siembras[[#This Row],[Posición]]="","","Vegetativo")</f>
        <v/>
      </c>
      <c r="L18" s="11" t="str">
        <f>IF(Plantilla_Siembras[[#This Row],[Posición]]="","","No")</f>
        <v/>
      </c>
      <c r="M18" s="11" t="str">
        <f>IF(Plantilla_Siembras[[#This Row],[Posición]]="","","Suelo")</f>
        <v/>
      </c>
      <c r="N18" s="20"/>
      <c r="Q18"/>
      <c r="R18"/>
      <c r="S18"/>
      <c r="T18"/>
      <c r="U18"/>
      <c r="V18"/>
    </row>
    <row r="19" spans="1:22" x14ac:dyDescent="0.35">
      <c r="A19" s="11" t="str">
        <f>IF(Siembras!B17="","",_xlfn.CONCAT(Siembras!B17,":",IF(ROUNDUP(Siembras!D17/4,0)&lt;10,_xlfn.CONCAT(0,ROUNDUP(Siembras!D17/4,0)),ROUNDUP(Siembras!D17/4,0)),":",Siembras!C17,":",Siembras!D17))</f>
        <v/>
      </c>
      <c r="B19" s="12" t="str">
        <f>+IF(Siembras!E17="","",Siembras!E17)</f>
        <v/>
      </c>
      <c r="C19" s="13" t="str">
        <f>+IF(Siembras!F17="","",Siembras!F17)</f>
        <v/>
      </c>
      <c r="D19" s="13" t="str">
        <f>+IF(Siembras!G17="","",Siembras!G17)</f>
        <v/>
      </c>
      <c r="E19" s="21" t="str">
        <f>+IF(Siembras!H17="","",Siembras!H17)</f>
        <v/>
      </c>
      <c r="F19" s="13" t="str">
        <f>+IF(Plantilla_Siembras[[#This Row],[Posición]]="","",IF(Siembras!I17="No","1","0"))</f>
        <v/>
      </c>
      <c r="G19" s="11" t="str">
        <f>IF(Plantilla_Siembras[[#This Row],[Posición]]="","","Produccion")</f>
        <v/>
      </c>
      <c r="H19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19" s="13"/>
      <c r="J19" s="13"/>
      <c r="K19" s="11" t="str">
        <f>IF(Plantilla_Siembras[[#This Row],[Posición]]="","","Vegetativo")</f>
        <v/>
      </c>
      <c r="L19" s="11" t="str">
        <f>IF(Plantilla_Siembras[[#This Row],[Posición]]="","","No")</f>
        <v/>
      </c>
      <c r="M19" s="11" t="str">
        <f>IF(Plantilla_Siembras[[#This Row],[Posición]]="","","Suelo")</f>
        <v/>
      </c>
      <c r="N19" s="20"/>
    </row>
    <row r="20" spans="1:22" x14ac:dyDescent="0.35">
      <c r="A20" s="11" t="str">
        <f>IF(Siembras!B18="","",_xlfn.CONCAT(Siembras!B18,":",IF(ROUNDUP(Siembras!D18/4,0)&lt;10,_xlfn.CONCAT(0,ROUNDUP(Siembras!D18/4,0)),ROUNDUP(Siembras!D18/4,0)),":",Siembras!C18,":",Siembras!D18))</f>
        <v/>
      </c>
      <c r="B20" s="12" t="str">
        <f>+IF(Siembras!E18="","",Siembras!E18)</f>
        <v/>
      </c>
      <c r="C20" s="13" t="str">
        <f>+IF(Siembras!F18="","",Siembras!F18)</f>
        <v/>
      </c>
      <c r="D20" s="13" t="str">
        <f>+IF(Siembras!G18="","",Siembras!G18)</f>
        <v/>
      </c>
      <c r="E20" s="21" t="str">
        <f>+IF(Siembras!H18="","",Siembras!H18)</f>
        <v/>
      </c>
      <c r="F20" s="13" t="str">
        <f>+IF(Plantilla_Siembras[[#This Row],[Posición]]="","",IF(Siembras!I18="No","1","0"))</f>
        <v/>
      </c>
      <c r="G20" s="11" t="str">
        <f>IF(Plantilla_Siembras[[#This Row],[Posición]]="","","Produccion")</f>
        <v/>
      </c>
      <c r="H20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20" s="13"/>
      <c r="J20" s="13"/>
      <c r="K20" s="11" t="str">
        <f>IF(Plantilla_Siembras[[#This Row],[Posición]]="","","Vegetativo")</f>
        <v/>
      </c>
      <c r="L20" s="11" t="str">
        <f>IF(Plantilla_Siembras[[#This Row],[Posición]]="","","No")</f>
        <v/>
      </c>
      <c r="M20" s="11" t="str">
        <f>IF(Plantilla_Siembras[[#This Row],[Posición]]="","","Suelo")</f>
        <v/>
      </c>
      <c r="N20" s="20"/>
    </row>
    <row r="21" spans="1:22" x14ac:dyDescent="0.35">
      <c r="A21" s="11" t="str">
        <f>IF(Siembras!B19="","",_xlfn.CONCAT(Siembras!B19,":",IF(ROUNDUP(Siembras!D19/4,0)&lt;10,_xlfn.CONCAT(0,ROUNDUP(Siembras!D19/4,0)),ROUNDUP(Siembras!D19/4,0)),":",Siembras!C19,":",Siembras!D19))</f>
        <v/>
      </c>
      <c r="B21" s="12" t="str">
        <f>+IF(Siembras!E19="","",Siembras!E19)</f>
        <v/>
      </c>
      <c r="C21" s="13" t="str">
        <f>+IF(Siembras!F19="","",Siembras!F19)</f>
        <v/>
      </c>
      <c r="D21" s="13" t="str">
        <f>+IF(Siembras!G19="","",Siembras!G19)</f>
        <v/>
      </c>
      <c r="E21" s="21" t="str">
        <f>+IF(Siembras!H19="","",Siembras!H19)</f>
        <v/>
      </c>
      <c r="F21" s="13" t="str">
        <f>+IF(Plantilla_Siembras[[#This Row],[Posición]]="","",IF(Siembras!I19="No","1","0"))</f>
        <v/>
      </c>
      <c r="G21" s="11" t="str">
        <f>IF(Plantilla_Siembras[[#This Row],[Posición]]="","","Produccion")</f>
        <v/>
      </c>
      <c r="H21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21" s="13"/>
      <c r="J21" s="13"/>
      <c r="K21" s="11" t="str">
        <f>IF(Plantilla_Siembras[[#This Row],[Posición]]="","","Vegetativo")</f>
        <v/>
      </c>
      <c r="L21" s="11" t="str">
        <f>IF(Plantilla_Siembras[[#This Row],[Posición]]="","","No")</f>
        <v/>
      </c>
      <c r="M21" s="11" t="str">
        <f>IF(Plantilla_Siembras[[#This Row],[Posición]]="","","Suelo")</f>
        <v/>
      </c>
      <c r="N21" s="20"/>
    </row>
    <row r="22" spans="1:22" x14ac:dyDescent="0.35">
      <c r="A22" s="11" t="str">
        <f>IF(Siembras!B20="","",_xlfn.CONCAT(Siembras!B20,":",IF(ROUNDUP(Siembras!D20/4,0)&lt;10,_xlfn.CONCAT(0,ROUNDUP(Siembras!D20/4,0)),ROUNDUP(Siembras!D20/4,0)),":",Siembras!C20,":",Siembras!D20))</f>
        <v/>
      </c>
      <c r="B22" s="12" t="str">
        <f>+IF(Siembras!E20="","",Siembras!E20)</f>
        <v/>
      </c>
      <c r="C22" s="13" t="str">
        <f>+IF(Siembras!F20="","",Siembras!F20)</f>
        <v/>
      </c>
      <c r="D22" s="13" t="str">
        <f>+IF(Siembras!G20="","",Siembras!G20)</f>
        <v/>
      </c>
      <c r="E22" s="21" t="str">
        <f>+IF(Siembras!H20="","",Siembras!H20)</f>
        <v/>
      </c>
      <c r="F22" s="13" t="str">
        <f>+IF(Plantilla_Siembras[[#This Row],[Posición]]="","",IF(Siembras!I20="No","1","0"))</f>
        <v/>
      </c>
      <c r="G22" s="11" t="str">
        <f>IF(Plantilla_Siembras[[#This Row],[Posición]]="","","Produccion")</f>
        <v/>
      </c>
      <c r="H22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22" s="13"/>
      <c r="J22" s="13"/>
      <c r="K22" s="11" t="str">
        <f>IF(Plantilla_Siembras[[#This Row],[Posición]]="","","Vegetativo")</f>
        <v/>
      </c>
      <c r="L22" s="11" t="str">
        <f>IF(Plantilla_Siembras[[#This Row],[Posición]]="","","No")</f>
        <v/>
      </c>
      <c r="M22" s="11" t="str">
        <f>IF(Plantilla_Siembras[[#This Row],[Posición]]="","","Suelo")</f>
        <v/>
      </c>
      <c r="N22" s="20"/>
    </row>
    <row r="23" spans="1:22" x14ac:dyDescent="0.35">
      <c r="A23" s="11" t="str">
        <f>IF(Siembras!B21="","",_xlfn.CONCAT(Siembras!B21,":",IF(ROUNDUP(Siembras!D21/4,0)&lt;10,_xlfn.CONCAT(0,ROUNDUP(Siembras!D21/4,0)),ROUNDUP(Siembras!D21/4,0)),":",Siembras!C21,":",Siembras!D21))</f>
        <v/>
      </c>
      <c r="B23" s="12" t="str">
        <f>+IF(Siembras!E21="","",Siembras!E21)</f>
        <v/>
      </c>
      <c r="C23" s="13" t="str">
        <f>+IF(Siembras!F21="","",Siembras!F21)</f>
        <v/>
      </c>
      <c r="D23" s="13" t="str">
        <f>+IF(Siembras!G21="","",Siembras!G21)</f>
        <v/>
      </c>
      <c r="E23" s="21" t="str">
        <f>+IF(Siembras!H21="","",Siembras!H21)</f>
        <v/>
      </c>
      <c r="F23" s="13" t="str">
        <f>+IF(Plantilla_Siembras[[#This Row],[Posición]]="","",IF(Siembras!I21="No","1","0"))</f>
        <v/>
      </c>
      <c r="G23" s="11" t="str">
        <f>IF(Plantilla_Siembras[[#This Row],[Posición]]="","","Produccion")</f>
        <v/>
      </c>
      <c r="H23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23" s="13"/>
      <c r="J23" s="13"/>
      <c r="K23" s="11" t="str">
        <f>IF(Plantilla_Siembras[[#This Row],[Posición]]="","","Vegetativo")</f>
        <v/>
      </c>
      <c r="L23" s="11" t="str">
        <f>IF(Plantilla_Siembras[[#This Row],[Posición]]="","","No")</f>
        <v/>
      </c>
      <c r="M23" s="11" t="str">
        <f>IF(Plantilla_Siembras[[#This Row],[Posición]]="","","Suelo")</f>
        <v/>
      </c>
      <c r="N23" s="20"/>
    </row>
    <row r="24" spans="1:22" x14ac:dyDescent="0.35">
      <c r="A24" s="11" t="str">
        <f>IF(Siembras!B22="","",_xlfn.CONCAT(Siembras!B22,":",IF(ROUNDUP(Siembras!D22/4,0)&lt;10,_xlfn.CONCAT(0,ROUNDUP(Siembras!D22/4,0)),ROUNDUP(Siembras!D22/4,0)),":",Siembras!C22,":",Siembras!D22))</f>
        <v/>
      </c>
      <c r="B24" s="12" t="str">
        <f>+IF(Siembras!E22="","",Siembras!E22)</f>
        <v/>
      </c>
      <c r="C24" s="13" t="str">
        <f>+IF(Siembras!F22="","",Siembras!F22)</f>
        <v/>
      </c>
      <c r="D24" s="13" t="str">
        <f>+IF(Siembras!G22="","",Siembras!G22)</f>
        <v/>
      </c>
      <c r="E24" s="21" t="str">
        <f>+IF(Siembras!H22="","",Siembras!H22)</f>
        <v/>
      </c>
      <c r="F24" s="13" t="str">
        <f>+IF(Plantilla_Siembras[[#This Row],[Posición]]="","",IF(Siembras!I22="No","1","0"))</f>
        <v/>
      </c>
      <c r="G24" s="11" t="str">
        <f>IF(Plantilla_Siembras[[#This Row],[Posición]]="","","Produccion")</f>
        <v/>
      </c>
      <c r="H24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24" s="13"/>
      <c r="J24" s="13"/>
      <c r="K24" s="11" t="str">
        <f>IF(Plantilla_Siembras[[#This Row],[Posición]]="","","Vegetativo")</f>
        <v/>
      </c>
      <c r="L24" s="11" t="str">
        <f>IF(Plantilla_Siembras[[#This Row],[Posición]]="","","No")</f>
        <v/>
      </c>
      <c r="M24" s="11" t="str">
        <f>IF(Plantilla_Siembras[[#This Row],[Posición]]="","","Suelo")</f>
        <v/>
      </c>
      <c r="N24" s="20"/>
    </row>
    <row r="25" spans="1:22" x14ac:dyDescent="0.35">
      <c r="A25" s="11" t="str">
        <f>IF(Siembras!B23="","",_xlfn.CONCAT(Siembras!B23,":",IF(ROUNDUP(Siembras!D23/4,0)&lt;10,_xlfn.CONCAT(0,ROUNDUP(Siembras!D23/4,0)),ROUNDUP(Siembras!D23/4,0)),":",Siembras!C23,":",Siembras!D23))</f>
        <v/>
      </c>
      <c r="B25" s="12" t="str">
        <f>+IF(Siembras!E23="","",Siembras!E23)</f>
        <v/>
      </c>
      <c r="C25" s="13" t="str">
        <f>+IF(Siembras!F23="","",Siembras!F23)</f>
        <v/>
      </c>
      <c r="D25" s="13" t="str">
        <f>+IF(Siembras!G23="","",Siembras!G23)</f>
        <v/>
      </c>
      <c r="E25" s="21" t="str">
        <f>+IF(Siembras!H23="","",Siembras!H23)</f>
        <v/>
      </c>
      <c r="F25" s="13" t="str">
        <f>+IF(Plantilla_Siembras[[#This Row],[Posición]]="","",IF(Siembras!I23="No","1","0"))</f>
        <v/>
      </c>
      <c r="G25" s="11" t="str">
        <f>IF(Plantilla_Siembras[[#This Row],[Posición]]="","","Produccion")</f>
        <v/>
      </c>
      <c r="H25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25" s="13"/>
      <c r="J25" s="13"/>
      <c r="K25" s="11" t="str">
        <f>IF(Plantilla_Siembras[[#This Row],[Posición]]="","","Vegetativo")</f>
        <v/>
      </c>
      <c r="L25" s="11" t="str">
        <f>IF(Plantilla_Siembras[[#This Row],[Posición]]="","","No")</f>
        <v/>
      </c>
      <c r="M25" s="11" t="str">
        <f>IF(Plantilla_Siembras[[#This Row],[Posición]]="","","Suelo")</f>
        <v/>
      </c>
      <c r="N25" s="20"/>
    </row>
    <row r="26" spans="1:22" x14ac:dyDescent="0.35">
      <c r="A26" s="11" t="str">
        <f>IF(Siembras!B24="","",_xlfn.CONCAT(Siembras!B24,":",IF(ROUNDUP(Siembras!D24/4,0)&lt;10,_xlfn.CONCAT(0,ROUNDUP(Siembras!D24/4,0)),ROUNDUP(Siembras!D24/4,0)),":",Siembras!C24,":",Siembras!D24))</f>
        <v/>
      </c>
      <c r="B26" s="12" t="str">
        <f>+IF(Siembras!E24="","",Siembras!E24)</f>
        <v/>
      </c>
      <c r="C26" s="13" t="str">
        <f>+IF(Siembras!F24="","",Siembras!F24)</f>
        <v/>
      </c>
      <c r="D26" s="13" t="str">
        <f>+IF(Siembras!G24="","",Siembras!G24)</f>
        <v/>
      </c>
      <c r="E26" s="21" t="str">
        <f>+IF(Siembras!H24="","",Siembras!H24)</f>
        <v/>
      </c>
      <c r="F26" s="13" t="str">
        <f>+IF(Plantilla_Siembras[[#This Row],[Posición]]="","",IF(Siembras!I24="No","1","0"))</f>
        <v/>
      </c>
      <c r="G26" s="11" t="str">
        <f>IF(Plantilla_Siembras[[#This Row],[Posición]]="","","Produccion")</f>
        <v/>
      </c>
      <c r="H26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26" s="13"/>
      <c r="J26" s="13"/>
      <c r="K26" s="11" t="str">
        <f>IF(Plantilla_Siembras[[#This Row],[Posición]]="","","Vegetativo")</f>
        <v/>
      </c>
      <c r="L26" s="11" t="str">
        <f>IF(Plantilla_Siembras[[#This Row],[Posición]]="","","No")</f>
        <v/>
      </c>
      <c r="M26" s="11" t="str">
        <f>IF(Plantilla_Siembras[[#This Row],[Posición]]="","","Suelo")</f>
        <v/>
      </c>
      <c r="N26" s="20"/>
    </row>
    <row r="27" spans="1:22" x14ac:dyDescent="0.35">
      <c r="A27" s="11" t="str">
        <f>IF(Siembras!B25="","",_xlfn.CONCAT(Siembras!B25,":",IF(ROUNDUP(Siembras!D25/4,0)&lt;10,_xlfn.CONCAT(0,ROUNDUP(Siembras!D25/4,0)),ROUNDUP(Siembras!D25/4,0)),":",Siembras!C25,":",Siembras!D25))</f>
        <v/>
      </c>
      <c r="B27" s="12" t="str">
        <f>+IF(Siembras!E25="","",Siembras!E25)</f>
        <v/>
      </c>
      <c r="C27" s="13" t="str">
        <f>+IF(Siembras!F25="","",Siembras!F25)</f>
        <v/>
      </c>
      <c r="D27" s="13" t="str">
        <f>+IF(Siembras!G25="","",Siembras!G25)</f>
        <v/>
      </c>
      <c r="E27" s="21" t="str">
        <f>+IF(Siembras!H25="","",Siembras!H25)</f>
        <v/>
      </c>
      <c r="F27" s="13" t="str">
        <f>+IF(Plantilla_Siembras[[#This Row],[Posición]]="","",IF(Siembras!I25="No","1","0"))</f>
        <v/>
      </c>
      <c r="G27" s="11" t="str">
        <f>IF(Plantilla_Siembras[[#This Row],[Posición]]="","","Produccion")</f>
        <v/>
      </c>
      <c r="H27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27" s="13"/>
      <c r="J27" s="13"/>
      <c r="K27" s="11" t="str">
        <f>IF(Plantilla_Siembras[[#This Row],[Posición]]="","","Vegetativo")</f>
        <v/>
      </c>
      <c r="L27" s="11" t="str">
        <f>IF(Plantilla_Siembras[[#This Row],[Posición]]="","","No")</f>
        <v/>
      </c>
      <c r="M27" s="11" t="str">
        <f>IF(Plantilla_Siembras[[#This Row],[Posición]]="","","Suelo")</f>
        <v/>
      </c>
      <c r="N27" s="20"/>
    </row>
    <row r="28" spans="1:22" x14ac:dyDescent="0.35">
      <c r="A28" s="11" t="str">
        <f>IF(Siembras!B26="","",_xlfn.CONCAT(Siembras!B26,":",IF(ROUNDUP(Siembras!D26/4,0)&lt;10,_xlfn.CONCAT(0,ROUNDUP(Siembras!D26/4,0)),ROUNDUP(Siembras!D26/4,0)),":",Siembras!C26,":",Siembras!D26))</f>
        <v/>
      </c>
      <c r="B28" s="12" t="str">
        <f>+IF(Siembras!E26="","",Siembras!E26)</f>
        <v/>
      </c>
      <c r="C28" s="13" t="str">
        <f>+IF(Siembras!F26="","",Siembras!F26)</f>
        <v/>
      </c>
      <c r="D28" s="13" t="str">
        <f>+IF(Siembras!G26="","",Siembras!G26)</f>
        <v/>
      </c>
      <c r="E28" s="21" t="str">
        <f>+IF(Siembras!H26="","",Siembras!H26)</f>
        <v/>
      </c>
      <c r="F28" s="13" t="str">
        <f>+IF(Plantilla_Siembras[[#This Row],[Posición]]="","",IF(Siembras!I26="No","1","0"))</f>
        <v/>
      </c>
      <c r="G28" s="11" t="str">
        <f>IF(Plantilla_Siembras[[#This Row],[Posición]]="","","Produccion")</f>
        <v/>
      </c>
      <c r="H28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28" s="13"/>
      <c r="J28" s="13"/>
      <c r="K28" s="11" t="str">
        <f>IF(Plantilla_Siembras[[#This Row],[Posición]]="","","Vegetativo")</f>
        <v/>
      </c>
      <c r="L28" s="11" t="str">
        <f>IF(Plantilla_Siembras[[#This Row],[Posición]]="","","No")</f>
        <v/>
      </c>
      <c r="M28" s="11" t="str">
        <f>IF(Plantilla_Siembras[[#This Row],[Posición]]="","","Suelo")</f>
        <v/>
      </c>
      <c r="N28" s="20"/>
    </row>
    <row r="29" spans="1:22" x14ac:dyDescent="0.35">
      <c r="A29" s="11" t="str">
        <f>IF(Siembras!B27="","",_xlfn.CONCAT(Siembras!B27,":",IF(ROUNDUP(Siembras!D27/4,0)&lt;10,_xlfn.CONCAT(0,ROUNDUP(Siembras!D27/4,0)),ROUNDUP(Siembras!D27/4,0)),":",Siembras!C27,":",Siembras!D27))</f>
        <v/>
      </c>
      <c r="B29" s="12" t="str">
        <f>+IF(Siembras!E27="","",Siembras!E27)</f>
        <v/>
      </c>
      <c r="C29" s="13" t="str">
        <f>+IF(Siembras!F27="","",Siembras!F27)</f>
        <v/>
      </c>
      <c r="D29" s="13" t="str">
        <f>+IF(Siembras!G27="","",Siembras!G27)</f>
        <v/>
      </c>
      <c r="E29" s="21" t="str">
        <f>+IF(Siembras!H27="","",Siembras!H27)</f>
        <v/>
      </c>
      <c r="F29" s="13" t="str">
        <f>+IF(Plantilla_Siembras[[#This Row],[Posición]]="","",IF(Siembras!I27="No","1","0"))</f>
        <v/>
      </c>
      <c r="G29" s="11" t="str">
        <f>IF(Plantilla_Siembras[[#This Row],[Posición]]="","","Produccion")</f>
        <v/>
      </c>
      <c r="H29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29" s="13"/>
      <c r="J29" s="13"/>
      <c r="K29" s="11" t="str">
        <f>IF(Plantilla_Siembras[[#This Row],[Posición]]="","","Vegetativo")</f>
        <v/>
      </c>
      <c r="L29" s="11" t="str">
        <f>IF(Plantilla_Siembras[[#This Row],[Posición]]="","","No")</f>
        <v/>
      </c>
      <c r="M29" s="11" t="str">
        <f>IF(Plantilla_Siembras[[#This Row],[Posición]]="","","Suelo")</f>
        <v/>
      </c>
      <c r="N29" s="20"/>
    </row>
    <row r="30" spans="1:22" x14ac:dyDescent="0.35">
      <c r="A30" s="11" t="str">
        <f>IF(Siembras!B28="","",_xlfn.CONCAT(Siembras!B28,":",IF(ROUNDUP(Siembras!D28/4,0)&lt;10,_xlfn.CONCAT(0,ROUNDUP(Siembras!D28/4,0)),ROUNDUP(Siembras!D28/4,0)),":",Siembras!C28,":",Siembras!D28))</f>
        <v/>
      </c>
      <c r="B30" s="12" t="str">
        <f>+IF(Siembras!E28="","",Siembras!E28)</f>
        <v/>
      </c>
      <c r="C30" s="13" t="str">
        <f>+IF(Siembras!F28="","",Siembras!F28)</f>
        <v/>
      </c>
      <c r="D30" s="13" t="str">
        <f>+IF(Siembras!G28="","",Siembras!G28)</f>
        <v/>
      </c>
      <c r="E30" s="21" t="str">
        <f>+IF(Siembras!H28="","",Siembras!H28)</f>
        <v/>
      </c>
      <c r="F30" s="13" t="str">
        <f>+IF(Plantilla_Siembras[[#This Row],[Posición]]="","",IF(Siembras!I28="No","1","0"))</f>
        <v/>
      </c>
      <c r="G30" s="11" t="str">
        <f>IF(Plantilla_Siembras[[#This Row],[Posición]]="","","Produccion")</f>
        <v/>
      </c>
      <c r="H30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30" s="13"/>
      <c r="J30" s="13"/>
      <c r="K30" s="11" t="str">
        <f>IF(Plantilla_Siembras[[#This Row],[Posición]]="","","Vegetativo")</f>
        <v/>
      </c>
      <c r="L30" s="11" t="str">
        <f>IF(Plantilla_Siembras[[#This Row],[Posición]]="","","No")</f>
        <v/>
      </c>
      <c r="M30" s="11" t="str">
        <f>IF(Plantilla_Siembras[[#This Row],[Posición]]="","","Suelo")</f>
        <v/>
      </c>
      <c r="N30" s="20"/>
    </row>
    <row r="31" spans="1:22" x14ac:dyDescent="0.35">
      <c r="A31" s="11" t="str">
        <f>IF(Siembras!B29="","",_xlfn.CONCAT(Siembras!B29,":",IF(ROUNDUP(Siembras!D29/4,0)&lt;10,_xlfn.CONCAT(0,ROUNDUP(Siembras!D29/4,0)),ROUNDUP(Siembras!D29/4,0)),":",Siembras!C29,":",Siembras!D29))</f>
        <v/>
      </c>
      <c r="B31" s="12" t="str">
        <f>+IF(Siembras!E29="","",Siembras!E29)</f>
        <v/>
      </c>
      <c r="C31" s="13" t="str">
        <f>+IF(Siembras!F29="","",Siembras!F29)</f>
        <v/>
      </c>
      <c r="D31" s="13" t="str">
        <f>+IF(Siembras!G29="","",Siembras!G29)</f>
        <v/>
      </c>
      <c r="E31" s="21" t="str">
        <f>+IF(Siembras!H29="","",Siembras!H29)</f>
        <v/>
      </c>
      <c r="F31" s="13" t="str">
        <f>+IF(Plantilla_Siembras[[#This Row],[Posición]]="","",IF(Siembras!I29="No","1","0"))</f>
        <v/>
      </c>
      <c r="G31" s="11" t="str">
        <f>IF(Plantilla_Siembras[[#This Row],[Posición]]="","","Produccion")</f>
        <v/>
      </c>
      <c r="H31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31" s="13"/>
      <c r="J31" s="13"/>
      <c r="K31" s="11" t="str">
        <f>IF(Plantilla_Siembras[[#This Row],[Posición]]="","","Vegetativo")</f>
        <v/>
      </c>
      <c r="L31" s="11" t="str">
        <f>IF(Plantilla_Siembras[[#This Row],[Posición]]="","","No")</f>
        <v/>
      </c>
      <c r="M31" s="11" t="str">
        <f>IF(Plantilla_Siembras[[#This Row],[Posición]]="","","Suelo")</f>
        <v/>
      </c>
      <c r="N31" s="20"/>
    </row>
    <row r="32" spans="1:22" x14ac:dyDescent="0.35">
      <c r="A32" s="11" t="str">
        <f>IF(Siembras!B30="","",_xlfn.CONCAT(Siembras!B30,":",IF(ROUNDUP(Siembras!D30/4,0)&lt;10,_xlfn.CONCAT(0,ROUNDUP(Siembras!D30/4,0)),ROUNDUP(Siembras!D30/4,0)),":",Siembras!C30,":",Siembras!D30))</f>
        <v/>
      </c>
      <c r="B32" s="12" t="str">
        <f>+IF(Siembras!E30="","",Siembras!E30)</f>
        <v/>
      </c>
      <c r="C32" s="13" t="str">
        <f>+IF(Siembras!F30="","",Siembras!F30)</f>
        <v/>
      </c>
      <c r="D32" s="13" t="str">
        <f>+IF(Siembras!G30="","",Siembras!G30)</f>
        <v/>
      </c>
      <c r="E32" s="21" t="str">
        <f>+IF(Siembras!H30="","",Siembras!H30)</f>
        <v/>
      </c>
      <c r="F32" s="13" t="str">
        <f>+IF(Plantilla_Siembras[[#This Row],[Posición]]="","",IF(Siembras!I30="No","1","0"))</f>
        <v/>
      </c>
      <c r="G32" s="11" t="str">
        <f>IF(Plantilla_Siembras[[#This Row],[Posición]]="","","Produccion")</f>
        <v/>
      </c>
      <c r="H32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32" s="13"/>
      <c r="J32" s="13"/>
      <c r="K32" s="11" t="str">
        <f>IF(Plantilla_Siembras[[#This Row],[Posición]]="","","Vegetativo")</f>
        <v/>
      </c>
      <c r="L32" s="11" t="str">
        <f>IF(Plantilla_Siembras[[#This Row],[Posición]]="","","No")</f>
        <v/>
      </c>
      <c r="M32" s="11" t="str">
        <f>IF(Plantilla_Siembras[[#This Row],[Posición]]="","","Suelo")</f>
        <v/>
      </c>
      <c r="N32" s="20"/>
    </row>
    <row r="33" spans="1:14" x14ac:dyDescent="0.35">
      <c r="A33" s="11" t="str">
        <f>IF(Siembras!B31="","",_xlfn.CONCAT(Siembras!B31,":",IF(ROUNDUP(Siembras!D31/4,0)&lt;10,_xlfn.CONCAT(0,ROUNDUP(Siembras!D31/4,0)),ROUNDUP(Siembras!D31/4,0)),":",Siembras!C31,":",Siembras!D31))</f>
        <v/>
      </c>
      <c r="B33" s="12" t="str">
        <f>+IF(Siembras!E31="","",Siembras!E31)</f>
        <v/>
      </c>
      <c r="C33" s="13" t="str">
        <f>+IF(Siembras!F31="","",Siembras!F31)</f>
        <v/>
      </c>
      <c r="D33" s="13" t="str">
        <f>+IF(Siembras!G31="","",Siembras!G31)</f>
        <v/>
      </c>
      <c r="E33" s="21" t="str">
        <f>+IF(Siembras!H31="","",Siembras!H31)</f>
        <v/>
      </c>
      <c r="F33" s="13" t="str">
        <f>+IF(Plantilla_Siembras[[#This Row],[Posición]]="","",IF(Siembras!I31="No","1","0"))</f>
        <v/>
      </c>
      <c r="G33" s="11" t="str">
        <f>IF(Plantilla_Siembras[[#This Row],[Posición]]="","","Produccion")</f>
        <v/>
      </c>
      <c r="H33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33" s="13"/>
      <c r="J33" s="13"/>
      <c r="K33" s="11" t="str">
        <f>IF(Plantilla_Siembras[[#This Row],[Posición]]="","","Vegetativo")</f>
        <v/>
      </c>
      <c r="L33" s="11" t="str">
        <f>IF(Plantilla_Siembras[[#This Row],[Posición]]="","","No")</f>
        <v/>
      </c>
      <c r="M33" s="11" t="str">
        <f>IF(Plantilla_Siembras[[#This Row],[Posición]]="","","Suelo")</f>
        <v/>
      </c>
      <c r="N33" s="20"/>
    </row>
    <row r="34" spans="1:14" x14ac:dyDescent="0.35">
      <c r="A34" s="11" t="str">
        <f>IF(Siembras!B32="","",_xlfn.CONCAT(Siembras!B32,":",IF(ROUNDUP(Siembras!D32/4,0)&lt;10,_xlfn.CONCAT(0,ROUNDUP(Siembras!D32/4,0)),ROUNDUP(Siembras!D32/4,0)),":",Siembras!C32,":",Siembras!D32))</f>
        <v/>
      </c>
      <c r="B34" s="12" t="str">
        <f>+IF(Siembras!E32="","",Siembras!E32)</f>
        <v/>
      </c>
      <c r="C34" s="13" t="str">
        <f>+IF(Siembras!F32="","",Siembras!F32)</f>
        <v/>
      </c>
      <c r="D34" s="13" t="str">
        <f>+IF(Siembras!G32="","",Siembras!G32)</f>
        <v/>
      </c>
      <c r="E34" s="21" t="str">
        <f>+IF(Siembras!H32="","",Siembras!H32)</f>
        <v/>
      </c>
      <c r="F34" s="13" t="str">
        <f>+IF(Plantilla_Siembras[[#This Row],[Posición]]="","",IF(Siembras!I32="No","1","0"))</f>
        <v/>
      </c>
      <c r="G34" s="11" t="str">
        <f>IF(Plantilla_Siembras[[#This Row],[Posición]]="","","Produccion")</f>
        <v/>
      </c>
      <c r="H34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34" s="13"/>
      <c r="J34" s="13"/>
      <c r="K34" s="11" t="str">
        <f>IF(Plantilla_Siembras[[#This Row],[Posición]]="","","Vegetativo")</f>
        <v/>
      </c>
      <c r="L34" s="11" t="str">
        <f>IF(Plantilla_Siembras[[#This Row],[Posición]]="","","No")</f>
        <v/>
      </c>
      <c r="M34" s="11" t="str">
        <f>IF(Plantilla_Siembras[[#This Row],[Posición]]="","","Suelo")</f>
        <v/>
      </c>
      <c r="N34" s="20"/>
    </row>
    <row r="35" spans="1:14" x14ac:dyDescent="0.35">
      <c r="A35" s="11" t="str">
        <f>IF(Siembras!B33="","",_xlfn.CONCAT(Siembras!B33,":",IF(ROUNDUP(Siembras!D33/4,0)&lt;10,_xlfn.CONCAT(0,ROUNDUP(Siembras!D33/4,0)),ROUNDUP(Siembras!D33/4,0)),":",Siembras!C33,":",Siembras!D33))</f>
        <v/>
      </c>
      <c r="B35" s="12" t="str">
        <f>+IF(Siembras!E33="","",Siembras!E33)</f>
        <v/>
      </c>
      <c r="C35" s="13" t="str">
        <f>+IF(Siembras!F33="","",Siembras!F33)</f>
        <v/>
      </c>
      <c r="D35" s="13" t="str">
        <f>+IF(Siembras!G33="","",Siembras!G33)</f>
        <v/>
      </c>
      <c r="E35" s="21" t="str">
        <f>+IF(Siembras!H33="","",Siembras!H33)</f>
        <v/>
      </c>
      <c r="F35" s="13" t="str">
        <f>+IF(Plantilla_Siembras[[#This Row],[Posición]]="","",IF(Siembras!I33="No","1","0"))</f>
        <v/>
      </c>
      <c r="G35" s="11" t="str">
        <f>IF(Plantilla_Siembras[[#This Row],[Posición]]="","","Produccion")</f>
        <v/>
      </c>
      <c r="H35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35" s="13"/>
      <c r="J35" s="13"/>
      <c r="K35" s="11" t="str">
        <f>IF(Plantilla_Siembras[[#This Row],[Posición]]="","","Vegetativo")</f>
        <v/>
      </c>
      <c r="L35" s="11" t="str">
        <f>IF(Plantilla_Siembras[[#This Row],[Posición]]="","","No")</f>
        <v/>
      </c>
      <c r="M35" s="11" t="str">
        <f>IF(Plantilla_Siembras[[#This Row],[Posición]]="","","Suelo")</f>
        <v/>
      </c>
      <c r="N35" s="20"/>
    </row>
    <row r="36" spans="1:14" x14ac:dyDescent="0.35">
      <c r="A36" s="11" t="str">
        <f>IF(Siembras!B34="","",_xlfn.CONCAT(Siembras!B34,":",IF(ROUNDUP(Siembras!D34/4,0)&lt;10,_xlfn.CONCAT(0,ROUNDUP(Siembras!D34/4,0)),ROUNDUP(Siembras!D34/4,0)),":",Siembras!C34,":",Siembras!D34))</f>
        <v/>
      </c>
      <c r="B36" s="12" t="str">
        <f>+IF(Siembras!E34="","",Siembras!E34)</f>
        <v/>
      </c>
      <c r="C36" s="13" t="str">
        <f>+IF(Siembras!F34="","",Siembras!F34)</f>
        <v/>
      </c>
      <c r="D36" s="13" t="str">
        <f>+IF(Siembras!G34="","",Siembras!G34)</f>
        <v/>
      </c>
      <c r="E36" s="21" t="str">
        <f>+IF(Siembras!H34="","",Siembras!H34)</f>
        <v/>
      </c>
      <c r="F36" s="13" t="str">
        <f>+IF(Plantilla_Siembras[[#This Row],[Posición]]="","",IF(Siembras!I34="No","1","0"))</f>
        <v/>
      </c>
      <c r="G36" s="11" t="str">
        <f>IF(Plantilla_Siembras[[#This Row],[Posición]]="","","Produccion")</f>
        <v/>
      </c>
      <c r="H36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36" s="13"/>
      <c r="J36" s="13"/>
      <c r="K36" s="11" t="str">
        <f>IF(Plantilla_Siembras[[#This Row],[Posición]]="","","Vegetativo")</f>
        <v/>
      </c>
      <c r="L36" s="11" t="str">
        <f>IF(Plantilla_Siembras[[#This Row],[Posición]]="","","No")</f>
        <v/>
      </c>
      <c r="M36" s="11" t="str">
        <f>IF(Plantilla_Siembras[[#This Row],[Posición]]="","","Suelo")</f>
        <v/>
      </c>
      <c r="N36" s="20"/>
    </row>
    <row r="37" spans="1:14" x14ac:dyDescent="0.35">
      <c r="A37" s="11" t="str">
        <f>IF(Siembras!B35="","",_xlfn.CONCAT(Siembras!B35,":",IF(ROUNDUP(Siembras!D35/4,0)&lt;10,_xlfn.CONCAT(0,ROUNDUP(Siembras!D35/4,0)),ROUNDUP(Siembras!D35/4,0)),":",Siembras!C35,":",Siembras!D35))</f>
        <v/>
      </c>
      <c r="B37" s="12" t="str">
        <f>+IF(Siembras!E35="","",Siembras!E35)</f>
        <v/>
      </c>
      <c r="C37" s="13" t="str">
        <f>+IF(Siembras!F35="","",Siembras!F35)</f>
        <v/>
      </c>
      <c r="D37" s="13" t="str">
        <f>+IF(Siembras!G35="","",Siembras!G35)</f>
        <v/>
      </c>
      <c r="E37" s="21" t="str">
        <f>+IF(Siembras!H35="","",Siembras!H35)</f>
        <v/>
      </c>
      <c r="F37" s="13" t="str">
        <f>+IF(Plantilla_Siembras[[#This Row],[Posición]]="","",IF(Siembras!I35="No","1","0"))</f>
        <v/>
      </c>
      <c r="G37" s="11" t="str">
        <f>IF(Plantilla_Siembras[[#This Row],[Posición]]="","","Produccion")</f>
        <v/>
      </c>
      <c r="H37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37" s="13"/>
      <c r="J37" s="13"/>
      <c r="K37" s="11" t="str">
        <f>IF(Plantilla_Siembras[[#This Row],[Posición]]="","","Vegetativo")</f>
        <v/>
      </c>
      <c r="L37" s="11" t="str">
        <f>IF(Plantilla_Siembras[[#This Row],[Posición]]="","","No")</f>
        <v/>
      </c>
      <c r="M37" s="11" t="str">
        <f>IF(Plantilla_Siembras[[#This Row],[Posición]]="","","Suelo")</f>
        <v/>
      </c>
      <c r="N37" s="20"/>
    </row>
    <row r="38" spans="1:14" x14ac:dyDescent="0.35">
      <c r="A38" s="11" t="str">
        <f>IF(Siembras!B36="","",_xlfn.CONCAT(Siembras!B36,":",IF(ROUNDUP(Siembras!D36/4,0)&lt;10,_xlfn.CONCAT(0,ROUNDUP(Siembras!D36/4,0)),ROUNDUP(Siembras!D36/4,0)),":",Siembras!C36,":",Siembras!D36))</f>
        <v/>
      </c>
      <c r="B38" s="12" t="str">
        <f>+IF(Siembras!E36="","",Siembras!E36)</f>
        <v/>
      </c>
      <c r="C38" s="13" t="str">
        <f>+IF(Siembras!F36="","",Siembras!F36)</f>
        <v/>
      </c>
      <c r="D38" s="13" t="str">
        <f>+IF(Siembras!G36="","",Siembras!G36)</f>
        <v/>
      </c>
      <c r="E38" s="21" t="str">
        <f>+IF(Siembras!H36="","",Siembras!H36)</f>
        <v/>
      </c>
      <c r="F38" s="13" t="str">
        <f>+IF(Plantilla_Siembras[[#This Row],[Posición]]="","",IF(Siembras!I36="No","1","0"))</f>
        <v/>
      </c>
      <c r="G38" s="11" t="str">
        <f>IF(Plantilla_Siembras[[#This Row],[Posición]]="","","Produccion")</f>
        <v/>
      </c>
      <c r="H38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38" s="13"/>
      <c r="J38" s="13"/>
      <c r="K38" s="11" t="str">
        <f>IF(Plantilla_Siembras[[#This Row],[Posición]]="","","Vegetativo")</f>
        <v/>
      </c>
      <c r="L38" s="11" t="str">
        <f>IF(Plantilla_Siembras[[#This Row],[Posición]]="","","No")</f>
        <v/>
      </c>
      <c r="M38" s="11" t="str">
        <f>IF(Plantilla_Siembras[[#This Row],[Posición]]="","","Suelo")</f>
        <v/>
      </c>
      <c r="N38" s="20"/>
    </row>
    <row r="39" spans="1:14" x14ac:dyDescent="0.35">
      <c r="A39" s="11" t="str">
        <f>IF(Siembras!B37="","",_xlfn.CONCAT(Siembras!B37,":",IF(ROUNDUP(Siembras!D37/4,0)&lt;10,_xlfn.CONCAT(0,ROUNDUP(Siembras!D37/4,0)),ROUNDUP(Siembras!D37/4,0)),":",Siembras!C37,":",Siembras!D37))</f>
        <v/>
      </c>
      <c r="B39" s="12" t="str">
        <f>+IF(Siembras!E37="","",Siembras!E37)</f>
        <v/>
      </c>
      <c r="C39" s="13" t="str">
        <f>+IF(Siembras!F37="","",Siembras!F37)</f>
        <v/>
      </c>
      <c r="D39" s="13" t="str">
        <f>+IF(Siembras!G37="","",Siembras!G37)</f>
        <v/>
      </c>
      <c r="E39" s="21" t="str">
        <f>+IF(Siembras!H37="","",Siembras!H37)</f>
        <v/>
      </c>
      <c r="F39" s="13" t="str">
        <f>+IF(Plantilla_Siembras[[#This Row],[Posición]]="","",IF(Siembras!I37="No","1","0"))</f>
        <v/>
      </c>
      <c r="G39" s="11" t="str">
        <f>IF(Plantilla_Siembras[[#This Row],[Posición]]="","","Produccion")</f>
        <v/>
      </c>
      <c r="H39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39" s="13"/>
      <c r="J39" s="13"/>
      <c r="K39" s="11" t="str">
        <f>IF(Plantilla_Siembras[[#This Row],[Posición]]="","","Vegetativo")</f>
        <v/>
      </c>
      <c r="L39" s="11" t="str">
        <f>IF(Plantilla_Siembras[[#This Row],[Posición]]="","","No")</f>
        <v/>
      </c>
      <c r="M39" s="11" t="str">
        <f>IF(Plantilla_Siembras[[#This Row],[Posición]]="","","Suelo")</f>
        <v/>
      </c>
      <c r="N39" s="20"/>
    </row>
    <row r="40" spans="1:14" x14ac:dyDescent="0.35">
      <c r="A40" s="11" t="str">
        <f>IF(Siembras!B38="","",_xlfn.CONCAT(Siembras!B38,":",IF(ROUNDUP(Siembras!D38/4,0)&lt;10,_xlfn.CONCAT(0,ROUNDUP(Siembras!D38/4,0)),ROUNDUP(Siembras!D38/4,0)),":",Siembras!C38,":",Siembras!D38))</f>
        <v/>
      </c>
      <c r="B40" s="12" t="str">
        <f>+IF(Siembras!E38="","",Siembras!E38)</f>
        <v/>
      </c>
      <c r="C40" s="13" t="str">
        <f>+IF(Siembras!F38="","",Siembras!F38)</f>
        <v/>
      </c>
      <c r="D40" s="13" t="str">
        <f>+IF(Siembras!G38="","",Siembras!G38)</f>
        <v/>
      </c>
      <c r="E40" s="21" t="str">
        <f>+IF(Siembras!H38="","",Siembras!H38)</f>
        <v/>
      </c>
      <c r="F40" s="13" t="str">
        <f>+IF(Plantilla_Siembras[[#This Row],[Posición]]="","",IF(Siembras!I38="No","1","0"))</f>
        <v/>
      </c>
      <c r="G40" s="11" t="str">
        <f>IF(Plantilla_Siembras[[#This Row],[Posición]]="","","Produccion")</f>
        <v/>
      </c>
      <c r="H40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40" s="13"/>
      <c r="J40" s="13"/>
      <c r="K40" s="11" t="str">
        <f>IF(Plantilla_Siembras[[#This Row],[Posición]]="","","Vegetativo")</f>
        <v/>
      </c>
      <c r="L40" s="11" t="str">
        <f>IF(Plantilla_Siembras[[#This Row],[Posición]]="","","No")</f>
        <v/>
      </c>
      <c r="M40" s="11" t="str">
        <f>IF(Plantilla_Siembras[[#This Row],[Posición]]="","","Suelo")</f>
        <v/>
      </c>
      <c r="N40" s="20"/>
    </row>
    <row r="41" spans="1:14" x14ac:dyDescent="0.35">
      <c r="A41" s="11" t="str">
        <f>IF(Siembras!B39="","",_xlfn.CONCAT(Siembras!B39,":",IF(ROUNDUP(Siembras!D39/4,0)&lt;10,_xlfn.CONCAT(0,ROUNDUP(Siembras!D39/4,0)),ROUNDUP(Siembras!D39/4,0)),":",Siembras!C39,":",Siembras!D39))</f>
        <v/>
      </c>
      <c r="B41" s="12" t="str">
        <f>+IF(Siembras!E39="","",Siembras!E39)</f>
        <v/>
      </c>
      <c r="C41" s="13" t="str">
        <f>+IF(Siembras!F39="","",Siembras!F39)</f>
        <v/>
      </c>
      <c r="D41" s="13" t="str">
        <f>+IF(Siembras!G39="","",Siembras!G39)</f>
        <v/>
      </c>
      <c r="E41" s="21" t="str">
        <f>+IF(Siembras!H39="","",Siembras!H39)</f>
        <v/>
      </c>
      <c r="F41" s="13" t="str">
        <f>+IF(Plantilla_Siembras[[#This Row],[Posición]]="","",IF(Siembras!I39="No","1","0"))</f>
        <v/>
      </c>
      <c r="G41" s="11" t="str">
        <f>IF(Plantilla_Siembras[[#This Row],[Posición]]="","","Produccion")</f>
        <v/>
      </c>
      <c r="H41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41" s="13"/>
      <c r="J41" s="13"/>
      <c r="K41" s="11" t="str">
        <f>IF(Plantilla_Siembras[[#This Row],[Posición]]="","","Vegetativo")</f>
        <v/>
      </c>
      <c r="L41" s="11" t="str">
        <f>IF(Plantilla_Siembras[[#This Row],[Posición]]="","","No")</f>
        <v/>
      </c>
      <c r="M41" s="11" t="str">
        <f>IF(Plantilla_Siembras[[#This Row],[Posición]]="","","Suelo")</f>
        <v/>
      </c>
      <c r="N41" s="20"/>
    </row>
    <row r="42" spans="1:14" x14ac:dyDescent="0.35">
      <c r="A42" s="11" t="str">
        <f>IF(Siembras!B40="","",_xlfn.CONCAT(Siembras!B40,":",IF(ROUNDUP(Siembras!D40/4,0)&lt;10,_xlfn.CONCAT(0,ROUNDUP(Siembras!D40/4,0)),ROUNDUP(Siembras!D40/4,0)),":",Siembras!C40,":",Siembras!D40))</f>
        <v/>
      </c>
      <c r="B42" s="12" t="str">
        <f>+IF(Siembras!E40="","",Siembras!E40)</f>
        <v/>
      </c>
      <c r="C42" s="13" t="str">
        <f>+IF(Siembras!F40="","",Siembras!F40)</f>
        <v/>
      </c>
      <c r="D42" s="13" t="str">
        <f>+IF(Siembras!G40="","",Siembras!G40)</f>
        <v/>
      </c>
      <c r="E42" s="21" t="str">
        <f>+IF(Siembras!H40="","",Siembras!H40)</f>
        <v/>
      </c>
      <c r="F42" s="13" t="str">
        <f>+IF(Plantilla_Siembras[[#This Row],[Posición]]="","",IF(Siembras!I40="No","1","0"))</f>
        <v/>
      </c>
      <c r="G42" s="11" t="str">
        <f>IF(Plantilla_Siembras[[#This Row],[Posición]]="","","Produccion")</f>
        <v/>
      </c>
      <c r="H42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42" s="13"/>
      <c r="J42" s="13"/>
      <c r="K42" s="11" t="str">
        <f>IF(Plantilla_Siembras[[#This Row],[Posición]]="","","Vegetativo")</f>
        <v/>
      </c>
      <c r="L42" s="11" t="str">
        <f>IF(Plantilla_Siembras[[#This Row],[Posición]]="","","No")</f>
        <v/>
      </c>
      <c r="M42" s="11" t="str">
        <f>IF(Plantilla_Siembras[[#This Row],[Posición]]="","","Suelo")</f>
        <v/>
      </c>
      <c r="N42" s="20"/>
    </row>
    <row r="43" spans="1:14" x14ac:dyDescent="0.35">
      <c r="A43" s="11" t="str">
        <f>IF(Siembras!B41="","",_xlfn.CONCAT(Siembras!B41,":",IF(ROUNDUP(Siembras!D41/4,0)&lt;10,_xlfn.CONCAT(0,ROUNDUP(Siembras!D41/4,0)),ROUNDUP(Siembras!D41/4,0)),":",Siembras!C41,":",Siembras!D41))</f>
        <v/>
      </c>
      <c r="B43" s="12" t="str">
        <f>+IF(Siembras!E41="","",Siembras!E41)</f>
        <v/>
      </c>
      <c r="C43" s="13" t="str">
        <f>+IF(Siembras!F41="","",Siembras!F41)</f>
        <v/>
      </c>
      <c r="D43" s="13" t="str">
        <f>+IF(Siembras!G41="","",Siembras!G41)</f>
        <v/>
      </c>
      <c r="E43" s="21" t="str">
        <f>+IF(Siembras!H41="","",Siembras!H41)</f>
        <v/>
      </c>
      <c r="F43" s="13" t="str">
        <f>+IF(Plantilla_Siembras[[#This Row],[Posición]]="","",IF(Siembras!I41="No","1","0"))</f>
        <v/>
      </c>
      <c r="G43" s="11" t="str">
        <f>IF(Plantilla_Siembras[[#This Row],[Posición]]="","","Produccion")</f>
        <v/>
      </c>
      <c r="H43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43" s="13"/>
      <c r="J43" s="13"/>
      <c r="K43" s="11" t="str">
        <f>IF(Plantilla_Siembras[[#This Row],[Posición]]="","","Vegetativo")</f>
        <v/>
      </c>
      <c r="L43" s="11" t="str">
        <f>IF(Plantilla_Siembras[[#This Row],[Posición]]="","","No")</f>
        <v/>
      </c>
      <c r="M43" s="11" t="str">
        <f>IF(Plantilla_Siembras[[#This Row],[Posición]]="","","Suelo")</f>
        <v/>
      </c>
      <c r="N43" s="20"/>
    </row>
    <row r="44" spans="1:14" x14ac:dyDescent="0.35">
      <c r="A44" s="11" t="str">
        <f>IF(Siembras!B42="","",_xlfn.CONCAT(Siembras!B42,":",IF(ROUNDUP(Siembras!D42/4,0)&lt;10,_xlfn.CONCAT(0,ROUNDUP(Siembras!D42/4,0)),ROUNDUP(Siembras!D42/4,0)),":",Siembras!C42,":",Siembras!D42))</f>
        <v/>
      </c>
      <c r="B44" s="12" t="str">
        <f>+IF(Siembras!E42="","",Siembras!E42)</f>
        <v/>
      </c>
      <c r="C44" s="13" t="str">
        <f>+IF(Siembras!F42="","",Siembras!F42)</f>
        <v/>
      </c>
      <c r="D44" s="13" t="str">
        <f>+IF(Siembras!G42="","",Siembras!G42)</f>
        <v/>
      </c>
      <c r="E44" s="21" t="str">
        <f>+IF(Siembras!H42="","",Siembras!H42)</f>
        <v/>
      </c>
      <c r="F44" s="13" t="str">
        <f>+IF(Plantilla_Siembras[[#This Row],[Posición]]="","",IF(Siembras!I42="No","1","0"))</f>
        <v/>
      </c>
      <c r="G44" s="11" t="str">
        <f>IF(Plantilla_Siembras[[#This Row],[Posición]]="","","Produccion")</f>
        <v/>
      </c>
      <c r="H44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44" s="13"/>
      <c r="J44" s="13"/>
      <c r="K44" s="11" t="str">
        <f>IF(Plantilla_Siembras[[#This Row],[Posición]]="","","Vegetativo")</f>
        <v/>
      </c>
      <c r="L44" s="11" t="str">
        <f>IF(Plantilla_Siembras[[#This Row],[Posición]]="","","No")</f>
        <v/>
      </c>
      <c r="M44" s="11" t="str">
        <f>IF(Plantilla_Siembras[[#This Row],[Posición]]="","","Suelo")</f>
        <v/>
      </c>
      <c r="N44" s="20"/>
    </row>
    <row r="45" spans="1:14" x14ac:dyDescent="0.35">
      <c r="A45" s="11" t="str">
        <f>IF(Siembras!B43="","",_xlfn.CONCAT(Siembras!B43,":",IF(ROUNDUP(Siembras!D43/4,0)&lt;10,_xlfn.CONCAT(0,ROUNDUP(Siembras!D43/4,0)),ROUNDUP(Siembras!D43/4,0)),":",Siembras!C43,":",Siembras!D43))</f>
        <v/>
      </c>
      <c r="B45" s="12" t="str">
        <f>+IF(Siembras!E43="","",Siembras!E43)</f>
        <v/>
      </c>
      <c r="C45" s="13" t="str">
        <f>+IF(Siembras!F43="","",Siembras!F43)</f>
        <v/>
      </c>
      <c r="D45" s="13" t="str">
        <f>+IF(Siembras!G43="","",Siembras!G43)</f>
        <v/>
      </c>
      <c r="E45" s="21" t="str">
        <f>+IF(Siembras!H43="","",Siembras!H43)</f>
        <v/>
      </c>
      <c r="F45" s="13" t="str">
        <f>+IF(Plantilla_Siembras[[#This Row],[Posición]]="","",IF(Siembras!I43="No","1","0"))</f>
        <v/>
      </c>
      <c r="G45" s="11" t="str">
        <f>IF(Plantilla_Siembras[[#This Row],[Posición]]="","","Produccion")</f>
        <v/>
      </c>
      <c r="H45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45" s="13"/>
      <c r="J45" s="13"/>
      <c r="K45" s="11" t="str">
        <f>IF(Plantilla_Siembras[[#This Row],[Posición]]="","","Vegetativo")</f>
        <v/>
      </c>
      <c r="L45" s="11" t="str">
        <f>IF(Plantilla_Siembras[[#This Row],[Posición]]="","","No")</f>
        <v/>
      </c>
      <c r="M45" s="11" t="str">
        <f>IF(Plantilla_Siembras[[#This Row],[Posición]]="","","Suelo")</f>
        <v/>
      </c>
      <c r="N45" s="20"/>
    </row>
    <row r="46" spans="1:14" x14ac:dyDescent="0.35">
      <c r="A46" s="11" t="str">
        <f>IF(Siembras!B44="","",_xlfn.CONCAT(Siembras!B44,":",IF(ROUNDUP(Siembras!D44/4,0)&lt;10,_xlfn.CONCAT(0,ROUNDUP(Siembras!D44/4,0)),ROUNDUP(Siembras!D44/4,0)),":",Siembras!C44,":",Siembras!D44))</f>
        <v/>
      </c>
      <c r="B46" s="12" t="str">
        <f>+IF(Siembras!E44="","",Siembras!E44)</f>
        <v/>
      </c>
      <c r="C46" s="13" t="str">
        <f>+IF(Siembras!F44="","",Siembras!F44)</f>
        <v/>
      </c>
      <c r="D46" s="13" t="str">
        <f>+IF(Siembras!G44="","",Siembras!G44)</f>
        <v/>
      </c>
      <c r="E46" s="21" t="str">
        <f>+IF(Siembras!H44="","",Siembras!H44)</f>
        <v/>
      </c>
      <c r="F46" s="13" t="str">
        <f>+IF(Plantilla_Siembras[[#This Row],[Posición]]="","",IF(Siembras!I44="No","1","0"))</f>
        <v/>
      </c>
      <c r="G46" s="11" t="str">
        <f>IF(Plantilla_Siembras[[#This Row],[Posición]]="","","Produccion")</f>
        <v/>
      </c>
      <c r="H46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46" s="13"/>
      <c r="J46" s="13"/>
      <c r="K46" s="11" t="str">
        <f>IF(Plantilla_Siembras[[#This Row],[Posición]]="","","Vegetativo")</f>
        <v/>
      </c>
      <c r="L46" s="11" t="str">
        <f>IF(Plantilla_Siembras[[#This Row],[Posición]]="","","No")</f>
        <v/>
      </c>
      <c r="M46" s="11" t="str">
        <f>IF(Plantilla_Siembras[[#This Row],[Posición]]="","","Suelo")</f>
        <v/>
      </c>
      <c r="N46" s="20"/>
    </row>
    <row r="47" spans="1:14" x14ac:dyDescent="0.35">
      <c r="A47" s="11" t="str">
        <f>IF(Siembras!B45="","",_xlfn.CONCAT(Siembras!B45,":",IF(ROUNDUP(Siembras!D45/4,0)&lt;10,_xlfn.CONCAT(0,ROUNDUP(Siembras!D45/4,0)),ROUNDUP(Siembras!D45/4,0)),":",Siembras!C45,":",Siembras!D45))</f>
        <v/>
      </c>
      <c r="B47" s="12" t="str">
        <f>+IF(Siembras!E45="","",Siembras!E45)</f>
        <v/>
      </c>
      <c r="C47" s="13" t="str">
        <f>+IF(Siembras!F45="","",Siembras!F45)</f>
        <v/>
      </c>
      <c r="D47" s="13" t="str">
        <f>+IF(Siembras!G45="","",Siembras!G45)</f>
        <v/>
      </c>
      <c r="E47" s="21" t="str">
        <f>+IF(Siembras!H45="","",Siembras!H45)</f>
        <v/>
      </c>
      <c r="F47" s="13" t="str">
        <f>+IF(Plantilla_Siembras[[#This Row],[Posición]]="","",IF(Siembras!I45="No","1","0"))</f>
        <v/>
      </c>
      <c r="G47" s="11" t="str">
        <f>IF(Plantilla_Siembras[[#This Row],[Posición]]="","","Produccion")</f>
        <v/>
      </c>
      <c r="H47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47" s="13"/>
      <c r="J47" s="13"/>
      <c r="K47" s="11" t="str">
        <f>IF(Plantilla_Siembras[[#This Row],[Posición]]="","","Vegetativo")</f>
        <v/>
      </c>
      <c r="L47" s="11" t="str">
        <f>IF(Plantilla_Siembras[[#This Row],[Posición]]="","","No")</f>
        <v/>
      </c>
      <c r="M47" s="11" t="str">
        <f>IF(Plantilla_Siembras[[#This Row],[Posición]]="","","Suelo")</f>
        <v/>
      </c>
      <c r="N47" s="20"/>
    </row>
    <row r="48" spans="1:14" x14ac:dyDescent="0.35">
      <c r="A48" s="11" t="str">
        <f>IF(Siembras!B46="","",_xlfn.CONCAT(Siembras!B46,":",IF(ROUNDUP(Siembras!D46/4,0)&lt;10,_xlfn.CONCAT(0,ROUNDUP(Siembras!D46/4,0)),ROUNDUP(Siembras!D46/4,0)),":",Siembras!C46,":",Siembras!D46))</f>
        <v/>
      </c>
      <c r="B48" s="12" t="str">
        <f>+IF(Siembras!E46="","",Siembras!E46)</f>
        <v/>
      </c>
      <c r="C48" s="13" t="str">
        <f>+IF(Siembras!F46="","",Siembras!F46)</f>
        <v/>
      </c>
      <c r="D48" s="13" t="str">
        <f>+IF(Siembras!G46="","",Siembras!G46)</f>
        <v/>
      </c>
      <c r="E48" s="21" t="str">
        <f>+IF(Siembras!H46="","",Siembras!H46)</f>
        <v/>
      </c>
      <c r="F48" s="13" t="str">
        <f>+IF(Plantilla_Siembras[[#This Row],[Posición]]="","",IF(Siembras!I46="No","1","0"))</f>
        <v/>
      </c>
      <c r="G48" s="11" t="str">
        <f>IF(Plantilla_Siembras[[#This Row],[Posición]]="","","Produccion")</f>
        <v/>
      </c>
      <c r="H48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48" s="13"/>
      <c r="J48" s="13"/>
      <c r="K48" s="11" t="str">
        <f>IF(Plantilla_Siembras[[#This Row],[Posición]]="","","Vegetativo")</f>
        <v/>
      </c>
      <c r="L48" s="11" t="str">
        <f>IF(Plantilla_Siembras[[#This Row],[Posición]]="","","No")</f>
        <v/>
      </c>
      <c r="M48" s="11" t="str">
        <f>IF(Plantilla_Siembras[[#This Row],[Posición]]="","","Suelo")</f>
        <v/>
      </c>
      <c r="N48" s="20"/>
    </row>
    <row r="49" spans="1:14" x14ac:dyDescent="0.35">
      <c r="A49" s="11" t="str">
        <f>IF(Siembras!B47="","",_xlfn.CONCAT(Siembras!B47,":",IF(ROUNDUP(Siembras!D47/4,0)&lt;10,_xlfn.CONCAT(0,ROUNDUP(Siembras!D47/4,0)),ROUNDUP(Siembras!D47/4,0)),":",Siembras!C47,":",Siembras!D47))</f>
        <v/>
      </c>
      <c r="B49" s="12" t="str">
        <f>+IF(Siembras!E47="","",Siembras!E47)</f>
        <v/>
      </c>
      <c r="C49" s="13" t="str">
        <f>+IF(Siembras!F47="","",Siembras!F47)</f>
        <v/>
      </c>
      <c r="D49" s="13" t="str">
        <f>+IF(Siembras!G47="","",Siembras!G47)</f>
        <v/>
      </c>
      <c r="E49" s="21" t="str">
        <f>+IF(Siembras!H47="","",Siembras!H47)</f>
        <v/>
      </c>
      <c r="F49" s="13" t="str">
        <f>+IF(Plantilla_Siembras[[#This Row],[Posición]]="","",IF(Siembras!I47="No","1","0"))</f>
        <v/>
      </c>
      <c r="G49" s="11" t="str">
        <f>IF(Plantilla_Siembras[[#This Row],[Posición]]="","","Produccion")</f>
        <v/>
      </c>
      <c r="H49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49" s="13"/>
      <c r="J49" s="13"/>
      <c r="K49" s="11" t="str">
        <f>IF(Plantilla_Siembras[[#This Row],[Posición]]="","","Vegetativo")</f>
        <v/>
      </c>
      <c r="L49" s="11" t="str">
        <f>IF(Plantilla_Siembras[[#This Row],[Posición]]="","","No")</f>
        <v/>
      </c>
      <c r="M49" s="11" t="str">
        <f>IF(Plantilla_Siembras[[#This Row],[Posición]]="","","Suelo")</f>
        <v/>
      </c>
      <c r="N49" s="20"/>
    </row>
    <row r="50" spans="1:14" x14ac:dyDescent="0.35">
      <c r="A50" s="11" t="str">
        <f>IF(Siembras!B48="","",_xlfn.CONCAT(Siembras!B48,":",IF(ROUNDUP(Siembras!D48/4,0)&lt;10,_xlfn.CONCAT(0,ROUNDUP(Siembras!D48/4,0)),ROUNDUP(Siembras!D48/4,0)),":",Siembras!C48,":",Siembras!D48))</f>
        <v/>
      </c>
      <c r="B50" s="12" t="str">
        <f>+IF(Siembras!E48="","",Siembras!E48)</f>
        <v/>
      </c>
      <c r="C50" s="13" t="str">
        <f>+IF(Siembras!F48="","",Siembras!F48)</f>
        <v/>
      </c>
      <c r="D50" s="13" t="str">
        <f>+IF(Siembras!G48="","",Siembras!G48)</f>
        <v/>
      </c>
      <c r="E50" s="21" t="str">
        <f>+IF(Siembras!H48="","",Siembras!H48)</f>
        <v/>
      </c>
      <c r="F50" s="13" t="str">
        <f>+IF(Plantilla_Siembras[[#This Row],[Posición]]="","",IF(Siembras!I48="No","1","0"))</f>
        <v/>
      </c>
      <c r="G50" s="11" t="str">
        <f>IF(Plantilla_Siembras[[#This Row],[Posición]]="","","Produccion")</f>
        <v/>
      </c>
      <c r="H50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50" s="13"/>
      <c r="J50" s="13"/>
      <c r="K50" s="11" t="str">
        <f>IF(Plantilla_Siembras[[#This Row],[Posición]]="","","Vegetativo")</f>
        <v/>
      </c>
      <c r="L50" s="11" t="str">
        <f>IF(Plantilla_Siembras[[#This Row],[Posición]]="","","No")</f>
        <v/>
      </c>
      <c r="M50" s="11" t="str">
        <f>IF(Plantilla_Siembras[[#This Row],[Posición]]="","","Suelo")</f>
        <v/>
      </c>
      <c r="N50" s="20"/>
    </row>
    <row r="51" spans="1:14" x14ac:dyDescent="0.35">
      <c r="A51" s="11" t="str">
        <f>IF(Siembras!B49="","",_xlfn.CONCAT(Siembras!B49,":",IF(ROUNDUP(Siembras!D49/4,0)&lt;10,_xlfn.CONCAT(0,ROUNDUP(Siembras!D49/4,0)),ROUNDUP(Siembras!D49/4,0)),":",Siembras!C49,":",Siembras!D49))</f>
        <v/>
      </c>
      <c r="B51" s="12" t="str">
        <f>+IF(Siembras!E49="","",Siembras!E49)</f>
        <v/>
      </c>
      <c r="C51" s="13" t="str">
        <f>+IF(Siembras!F49="","",Siembras!F49)</f>
        <v/>
      </c>
      <c r="D51" s="13" t="str">
        <f>+IF(Siembras!G49="","",Siembras!G49)</f>
        <v/>
      </c>
      <c r="E51" s="21" t="str">
        <f>+IF(Siembras!H49="","",Siembras!H49)</f>
        <v/>
      </c>
      <c r="F51" s="13" t="str">
        <f>+IF(Plantilla_Siembras[[#This Row],[Posición]]="","",IF(Siembras!I49="No","1","0"))</f>
        <v/>
      </c>
      <c r="G51" s="11" t="str">
        <f>IF(Plantilla_Siembras[[#This Row],[Posición]]="","","Produccion")</f>
        <v/>
      </c>
      <c r="H51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51" s="13"/>
      <c r="J51" s="13"/>
      <c r="K51" s="11" t="str">
        <f>IF(Plantilla_Siembras[[#This Row],[Posición]]="","","Vegetativo")</f>
        <v/>
      </c>
      <c r="L51" s="11" t="str">
        <f>IF(Plantilla_Siembras[[#This Row],[Posición]]="","","No")</f>
        <v/>
      </c>
      <c r="M51" s="11" t="str">
        <f>IF(Plantilla_Siembras[[#This Row],[Posición]]="","","Suelo")</f>
        <v/>
      </c>
      <c r="N51" s="20"/>
    </row>
    <row r="52" spans="1:14" x14ac:dyDescent="0.35">
      <c r="A52" s="11" t="str">
        <f>IF(Siembras!B50="","",_xlfn.CONCAT(Siembras!B50,":",IF(ROUNDUP(Siembras!D50/4,0)&lt;10,_xlfn.CONCAT(0,ROUNDUP(Siembras!D50/4,0)),ROUNDUP(Siembras!D50/4,0)),":",Siembras!C50,":",Siembras!D50))</f>
        <v/>
      </c>
      <c r="B52" s="12" t="str">
        <f>+IF(Siembras!E50="","",Siembras!E50)</f>
        <v/>
      </c>
      <c r="C52" s="13" t="str">
        <f>+IF(Siembras!F50="","",Siembras!F50)</f>
        <v/>
      </c>
      <c r="D52" s="13" t="str">
        <f>+IF(Siembras!G50="","",Siembras!G50)</f>
        <v/>
      </c>
      <c r="E52" s="21" t="str">
        <f>+IF(Siembras!H50="","",Siembras!H50)</f>
        <v/>
      </c>
      <c r="F52" s="13" t="str">
        <f>+IF(Plantilla_Siembras[[#This Row],[Posición]]="","",IF(Siembras!I50="No","1","0"))</f>
        <v/>
      </c>
      <c r="G52" s="11" t="str">
        <f>IF(Plantilla_Siembras[[#This Row],[Posición]]="","","Produccion")</f>
        <v/>
      </c>
      <c r="H52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52" s="13"/>
      <c r="J52" s="13"/>
      <c r="K52" s="11" t="str">
        <f>IF(Plantilla_Siembras[[#This Row],[Posición]]="","","Vegetativo")</f>
        <v/>
      </c>
      <c r="L52" s="11" t="str">
        <f>IF(Plantilla_Siembras[[#This Row],[Posición]]="","","No")</f>
        <v/>
      </c>
      <c r="M52" s="11" t="str">
        <f>IF(Plantilla_Siembras[[#This Row],[Posición]]="","","Suelo")</f>
        <v/>
      </c>
      <c r="N52" s="20"/>
    </row>
    <row r="53" spans="1:14" x14ac:dyDescent="0.35">
      <c r="A53" s="11" t="str">
        <f>IF(Siembras!B51="","",_xlfn.CONCAT(Siembras!B51,":",IF(ROUNDUP(Siembras!D51/4,0)&lt;10,_xlfn.CONCAT(0,ROUNDUP(Siembras!D51/4,0)),ROUNDUP(Siembras!D51/4,0)),":",Siembras!C51,":",Siembras!D51))</f>
        <v/>
      </c>
      <c r="B53" s="12" t="str">
        <f>+IF(Siembras!E51="","",Siembras!E51)</f>
        <v/>
      </c>
      <c r="C53" s="13" t="str">
        <f>+IF(Siembras!F51="","",Siembras!F51)</f>
        <v/>
      </c>
      <c r="D53" s="13" t="str">
        <f>+IF(Siembras!G51="","",Siembras!G51)</f>
        <v/>
      </c>
      <c r="E53" s="21" t="str">
        <f>+IF(Siembras!H51="","",Siembras!H51)</f>
        <v/>
      </c>
      <c r="F53" s="13" t="str">
        <f>+IF(Plantilla_Siembras[[#This Row],[Posición]]="","",IF(Siembras!I51="No","1","0"))</f>
        <v/>
      </c>
      <c r="G53" s="11" t="str">
        <f>IF(Plantilla_Siembras[[#This Row],[Posición]]="","","Produccion")</f>
        <v/>
      </c>
      <c r="H53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53" s="13"/>
      <c r="J53" s="13"/>
      <c r="K53" s="11" t="str">
        <f>IF(Plantilla_Siembras[[#This Row],[Posición]]="","","Vegetativo")</f>
        <v/>
      </c>
      <c r="L53" s="11" t="str">
        <f>IF(Plantilla_Siembras[[#This Row],[Posición]]="","","No")</f>
        <v/>
      </c>
      <c r="M53" s="11" t="str">
        <f>IF(Plantilla_Siembras[[#This Row],[Posición]]="","","Suelo")</f>
        <v/>
      </c>
      <c r="N53" s="20"/>
    </row>
    <row r="54" spans="1:14" x14ac:dyDescent="0.35">
      <c r="A54" s="11" t="str">
        <f>IF(Siembras!B52="","",_xlfn.CONCAT(Siembras!B52,":",IF(ROUNDUP(Siembras!D52/4,0)&lt;10,_xlfn.CONCAT(0,ROUNDUP(Siembras!D52/4,0)),ROUNDUP(Siembras!D52/4,0)),":",Siembras!C52,":",Siembras!D52))</f>
        <v/>
      </c>
      <c r="B54" s="12" t="str">
        <f>+IF(Siembras!E52="","",Siembras!E52)</f>
        <v/>
      </c>
      <c r="C54" s="13" t="str">
        <f>+IF(Siembras!F52="","",Siembras!F52)</f>
        <v/>
      </c>
      <c r="D54" s="13" t="str">
        <f>+IF(Siembras!G52="","",Siembras!G52)</f>
        <v/>
      </c>
      <c r="E54" s="21" t="str">
        <f>+IF(Siembras!H52="","",Siembras!H52)</f>
        <v/>
      </c>
      <c r="F54" s="13" t="str">
        <f>+IF(Plantilla_Siembras[[#This Row],[Posición]]="","",IF(Siembras!I52="No","1","0"))</f>
        <v/>
      </c>
      <c r="G54" s="11" t="str">
        <f>IF(Plantilla_Siembras[[#This Row],[Posición]]="","","Produccion")</f>
        <v/>
      </c>
      <c r="H54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54" s="13"/>
      <c r="J54" s="13"/>
      <c r="K54" s="11" t="str">
        <f>IF(Plantilla_Siembras[[#This Row],[Posición]]="","","Vegetativo")</f>
        <v/>
      </c>
      <c r="L54" s="11" t="str">
        <f>IF(Plantilla_Siembras[[#This Row],[Posición]]="","","No")</f>
        <v/>
      </c>
      <c r="M54" s="11" t="str">
        <f>IF(Plantilla_Siembras[[#This Row],[Posición]]="","","Suelo")</f>
        <v/>
      </c>
      <c r="N54" s="20"/>
    </row>
    <row r="55" spans="1:14" x14ac:dyDescent="0.35">
      <c r="A55" s="11" t="str">
        <f>IF(Siembras!B53="","",_xlfn.CONCAT(Siembras!B53,":",IF(ROUNDUP(Siembras!D53/4,0)&lt;10,_xlfn.CONCAT(0,ROUNDUP(Siembras!D53/4,0)),ROUNDUP(Siembras!D53/4,0)),":",Siembras!C53,":",Siembras!D53))</f>
        <v/>
      </c>
      <c r="B55" s="12" t="str">
        <f>+IF(Siembras!E53="","",Siembras!E53)</f>
        <v/>
      </c>
      <c r="C55" s="13" t="str">
        <f>+IF(Siembras!F53="","",Siembras!F53)</f>
        <v/>
      </c>
      <c r="D55" s="13" t="str">
        <f>+IF(Siembras!G53="","",Siembras!G53)</f>
        <v/>
      </c>
      <c r="E55" s="21" t="str">
        <f>+IF(Siembras!H53="","",Siembras!H53)</f>
        <v/>
      </c>
      <c r="F55" s="13" t="str">
        <f>+IF(Plantilla_Siembras[[#This Row],[Posición]]="","",IF(Siembras!I53="No","1","0"))</f>
        <v/>
      </c>
      <c r="G55" s="11" t="str">
        <f>IF(Plantilla_Siembras[[#This Row],[Posición]]="","","Produccion")</f>
        <v/>
      </c>
      <c r="H55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55" s="13"/>
      <c r="J55" s="13"/>
      <c r="K55" s="11" t="str">
        <f>IF(Plantilla_Siembras[[#This Row],[Posición]]="","","Vegetativo")</f>
        <v/>
      </c>
      <c r="L55" s="11" t="str">
        <f>IF(Plantilla_Siembras[[#This Row],[Posición]]="","","No")</f>
        <v/>
      </c>
      <c r="M55" s="11" t="str">
        <f>IF(Plantilla_Siembras[[#This Row],[Posición]]="","","Suelo")</f>
        <v/>
      </c>
      <c r="N55" s="20"/>
    </row>
    <row r="56" spans="1:14" x14ac:dyDescent="0.35">
      <c r="A56" s="11" t="str">
        <f>IF(Siembras!B54="","",_xlfn.CONCAT(Siembras!B54,":",IF(ROUNDUP(Siembras!D54/4,0)&lt;10,_xlfn.CONCAT(0,ROUNDUP(Siembras!D54/4,0)),ROUNDUP(Siembras!D54/4,0)),":",Siembras!C54,":",Siembras!D54))</f>
        <v/>
      </c>
      <c r="B56" s="12" t="str">
        <f>+IF(Siembras!E54="","",Siembras!E54)</f>
        <v/>
      </c>
      <c r="C56" s="13" t="str">
        <f>+IF(Siembras!F54="","",Siembras!F54)</f>
        <v/>
      </c>
      <c r="D56" s="13" t="str">
        <f>+IF(Siembras!G54="","",Siembras!G54)</f>
        <v/>
      </c>
      <c r="E56" s="21" t="str">
        <f>+IF(Siembras!H54="","",Siembras!H54)</f>
        <v/>
      </c>
      <c r="F56" s="13" t="str">
        <f>+IF(Plantilla_Siembras[[#This Row],[Posición]]="","",IF(Siembras!I54="No","1","0"))</f>
        <v/>
      </c>
      <c r="G56" s="11" t="str">
        <f>IF(Plantilla_Siembras[[#This Row],[Posición]]="","","Produccion")</f>
        <v/>
      </c>
      <c r="H56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56" s="13"/>
      <c r="J56" s="13"/>
      <c r="K56" s="11" t="str">
        <f>IF(Plantilla_Siembras[[#This Row],[Posición]]="","","Vegetativo")</f>
        <v/>
      </c>
      <c r="L56" s="11" t="str">
        <f>IF(Plantilla_Siembras[[#This Row],[Posición]]="","","No")</f>
        <v/>
      </c>
      <c r="M56" s="11" t="str">
        <f>IF(Plantilla_Siembras[[#This Row],[Posición]]="","","Suelo")</f>
        <v/>
      </c>
      <c r="N56" s="20"/>
    </row>
    <row r="57" spans="1:14" x14ac:dyDescent="0.35">
      <c r="A57" s="11" t="str">
        <f>IF(Siembras!B55="","",_xlfn.CONCAT(Siembras!B55,":",IF(ROUNDUP(Siembras!D55/4,0)&lt;10,_xlfn.CONCAT(0,ROUNDUP(Siembras!D55/4,0)),ROUNDUP(Siembras!D55/4,0)),":",Siembras!C55,":",Siembras!D55))</f>
        <v/>
      </c>
      <c r="B57" s="12" t="str">
        <f>+IF(Siembras!E55="","",Siembras!E55)</f>
        <v/>
      </c>
      <c r="C57" s="13" t="str">
        <f>+IF(Siembras!F55="","",Siembras!F55)</f>
        <v/>
      </c>
      <c r="D57" s="13" t="str">
        <f>+IF(Siembras!G55="","",Siembras!G55)</f>
        <v/>
      </c>
      <c r="E57" s="21" t="str">
        <f>+IF(Siembras!H55="","",Siembras!H55)</f>
        <v/>
      </c>
      <c r="F57" s="13" t="str">
        <f>+IF(Plantilla_Siembras[[#This Row],[Posición]]="","",IF(Siembras!I55="No","1","0"))</f>
        <v/>
      </c>
      <c r="G57" s="11" t="str">
        <f>IF(Plantilla_Siembras[[#This Row],[Posición]]="","","Produccion")</f>
        <v/>
      </c>
      <c r="H57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57" s="13"/>
      <c r="J57" s="13"/>
      <c r="K57" s="11" t="str">
        <f>IF(Plantilla_Siembras[[#This Row],[Posición]]="","","Vegetativo")</f>
        <v/>
      </c>
      <c r="L57" s="11" t="str">
        <f>IF(Plantilla_Siembras[[#This Row],[Posición]]="","","No")</f>
        <v/>
      </c>
      <c r="M57" s="11" t="str">
        <f>IF(Plantilla_Siembras[[#This Row],[Posición]]="","","Suelo")</f>
        <v/>
      </c>
      <c r="N57" s="20"/>
    </row>
    <row r="58" spans="1:14" x14ac:dyDescent="0.35">
      <c r="A58" s="11" t="str">
        <f>IF(Siembras!B56="","",_xlfn.CONCAT(Siembras!B56,":",IF(ROUNDUP(Siembras!D56/4,0)&lt;10,_xlfn.CONCAT(0,ROUNDUP(Siembras!D56/4,0)),ROUNDUP(Siembras!D56/4,0)),":",Siembras!C56,":",Siembras!D56))</f>
        <v/>
      </c>
      <c r="B58" s="12" t="str">
        <f>+IF(Siembras!E56="","",Siembras!E56)</f>
        <v/>
      </c>
      <c r="C58" s="13" t="str">
        <f>+IF(Siembras!F56="","",Siembras!F56)</f>
        <v/>
      </c>
      <c r="D58" s="13" t="str">
        <f>+IF(Siembras!G56="","",Siembras!G56)</f>
        <v/>
      </c>
      <c r="E58" s="21" t="str">
        <f>+IF(Siembras!H56="","",Siembras!H56)</f>
        <v/>
      </c>
      <c r="F58" s="13" t="str">
        <f>+IF(Plantilla_Siembras[[#This Row],[Posición]]="","",IF(Siembras!I56="No","1","0"))</f>
        <v/>
      </c>
      <c r="G58" s="11" t="str">
        <f>IF(Plantilla_Siembras[[#This Row],[Posición]]="","","Produccion")</f>
        <v/>
      </c>
      <c r="H58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58" s="13"/>
      <c r="J58" s="13"/>
      <c r="K58" s="11" t="str">
        <f>IF(Plantilla_Siembras[[#This Row],[Posición]]="","","Vegetativo")</f>
        <v/>
      </c>
      <c r="L58" s="11" t="str">
        <f>IF(Plantilla_Siembras[[#This Row],[Posición]]="","","No")</f>
        <v/>
      </c>
      <c r="M58" s="11" t="str">
        <f>IF(Plantilla_Siembras[[#This Row],[Posición]]="","","Suelo")</f>
        <v/>
      </c>
      <c r="N58" s="20"/>
    </row>
    <row r="59" spans="1:14" x14ac:dyDescent="0.35">
      <c r="A59" s="11" t="str">
        <f>IF(Siembras!B57="","",_xlfn.CONCAT(Siembras!B57,":",IF(ROUNDUP(Siembras!D57/4,0)&lt;10,_xlfn.CONCAT(0,ROUNDUP(Siembras!D57/4,0)),ROUNDUP(Siembras!D57/4,0)),":",Siembras!C57,":",Siembras!D57))</f>
        <v/>
      </c>
      <c r="B59" s="12" t="str">
        <f>+IF(Siembras!E57="","",Siembras!E57)</f>
        <v/>
      </c>
      <c r="C59" s="13" t="str">
        <f>+IF(Siembras!F57="","",Siembras!F57)</f>
        <v/>
      </c>
      <c r="D59" s="13" t="str">
        <f>+IF(Siembras!G57="","",Siembras!G57)</f>
        <v/>
      </c>
      <c r="E59" s="21" t="str">
        <f>+IF(Siembras!H57="","",Siembras!H57)</f>
        <v/>
      </c>
      <c r="F59" s="13" t="str">
        <f>+IF(Plantilla_Siembras[[#This Row],[Posición]]="","",IF(Siembras!I57="No","1","0"))</f>
        <v/>
      </c>
      <c r="G59" s="11" t="str">
        <f>IF(Plantilla_Siembras[[#This Row],[Posición]]="","","Produccion")</f>
        <v/>
      </c>
      <c r="H59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59" s="13"/>
      <c r="J59" s="13"/>
      <c r="K59" s="11" t="str">
        <f>IF(Plantilla_Siembras[[#This Row],[Posición]]="","","Vegetativo")</f>
        <v/>
      </c>
      <c r="L59" s="11" t="str">
        <f>IF(Plantilla_Siembras[[#This Row],[Posición]]="","","No")</f>
        <v/>
      </c>
      <c r="M59" s="11" t="str">
        <f>IF(Plantilla_Siembras[[#This Row],[Posición]]="","","Suelo")</f>
        <v/>
      </c>
      <c r="N59" s="20"/>
    </row>
    <row r="60" spans="1:14" x14ac:dyDescent="0.35">
      <c r="A60" s="11" t="str">
        <f>IF(Siembras!B58="","",_xlfn.CONCAT(Siembras!B58,":",IF(ROUNDUP(Siembras!D58/4,0)&lt;10,_xlfn.CONCAT(0,ROUNDUP(Siembras!D58/4,0)),ROUNDUP(Siembras!D58/4,0)),":",Siembras!C58,":",Siembras!D58))</f>
        <v/>
      </c>
      <c r="B60" s="12" t="str">
        <f>+IF(Siembras!E58="","",Siembras!E58)</f>
        <v/>
      </c>
      <c r="C60" s="13" t="str">
        <f>+IF(Siembras!F58="","",Siembras!F58)</f>
        <v/>
      </c>
      <c r="D60" s="13" t="str">
        <f>+IF(Siembras!G58="","",Siembras!G58)</f>
        <v/>
      </c>
      <c r="E60" s="21" t="str">
        <f>+IF(Siembras!H58="","",Siembras!H58)</f>
        <v/>
      </c>
      <c r="F60" s="13" t="str">
        <f>+IF(Plantilla_Siembras[[#This Row],[Posición]]="","",IF(Siembras!I58="No","1","0"))</f>
        <v/>
      </c>
      <c r="G60" s="11" t="str">
        <f>IF(Plantilla_Siembras[[#This Row],[Posición]]="","","Produccion")</f>
        <v/>
      </c>
      <c r="H60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60" s="13"/>
      <c r="J60" s="13"/>
      <c r="K60" s="11" t="str">
        <f>IF(Plantilla_Siembras[[#This Row],[Posición]]="","","Vegetativo")</f>
        <v/>
      </c>
      <c r="L60" s="11" t="str">
        <f>IF(Plantilla_Siembras[[#This Row],[Posición]]="","","No")</f>
        <v/>
      </c>
      <c r="M60" s="11" t="str">
        <f>IF(Plantilla_Siembras[[#This Row],[Posición]]="","","Suelo")</f>
        <v/>
      </c>
      <c r="N60" s="20"/>
    </row>
    <row r="61" spans="1:14" x14ac:dyDescent="0.35">
      <c r="A61" s="11" t="str">
        <f>IF(Siembras!B59="","",_xlfn.CONCAT(Siembras!B59,":",IF(ROUNDUP(Siembras!D59/4,0)&lt;10,_xlfn.CONCAT(0,ROUNDUP(Siembras!D59/4,0)),ROUNDUP(Siembras!D59/4,0)),":",Siembras!C59,":",Siembras!D59))</f>
        <v/>
      </c>
      <c r="B61" s="12" t="str">
        <f>+IF(Siembras!E59="","",Siembras!E59)</f>
        <v/>
      </c>
      <c r="C61" s="13" t="str">
        <f>+IF(Siembras!F59="","",Siembras!F59)</f>
        <v/>
      </c>
      <c r="D61" s="13" t="str">
        <f>+IF(Siembras!G59="","",Siembras!G59)</f>
        <v/>
      </c>
      <c r="E61" s="21" t="str">
        <f>+IF(Siembras!H59="","",Siembras!H59)</f>
        <v/>
      </c>
      <c r="F61" s="13" t="str">
        <f>+IF(Plantilla_Siembras[[#This Row],[Posición]]="","",IF(Siembras!I59="No","1","0"))</f>
        <v/>
      </c>
      <c r="G61" s="11" t="str">
        <f>IF(Plantilla_Siembras[[#This Row],[Posición]]="","","Produccion")</f>
        <v/>
      </c>
      <c r="H61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61" s="13"/>
      <c r="J61" s="13"/>
      <c r="K61" s="11" t="str">
        <f>IF(Plantilla_Siembras[[#This Row],[Posición]]="","","Vegetativo")</f>
        <v/>
      </c>
      <c r="L61" s="11" t="str">
        <f>IF(Plantilla_Siembras[[#This Row],[Posición]]="","","No")</f>
        <v/>
      </c>
      <c r="M61" s="11" t="str">
        <f>IF(Plantilla_Siembras[[#This Row],[Posición]]="","","Suelo")</f>
        <v/>
      </c>
      <c r="N61" s="20"/>
    </row>
    <row r="62" spans="1:14" x14ac:dyDescent="0.35">
      <c r="A62" s="11" t="str">
        <f>IF(Siembras!B60="","",_xlfn.CONCAT(Siembras!B60,":",IF(ROUNDUP(Siembras!D60/4,0)&lt;10,_xlfn.CONCAT(0,ROUNDUP(Siembras!D60/4,0)),ROUNDUP(Siembras!D60/4,0)),":",Siembras!C60,":",Siembras!D60))</f>
        <v/>
      </c>
      <c r="B62" s="12" t="str">
        <f>+IF(Siembras!E60="","",Siembras!E60)</f>
        <v/>
      </c>
      <c r="C62" s="13" t="str">
        <f>+IF(Siembras!F60="","",Siembras!F60)</f>
        <v/>
      </c>
      <c r="D62" s="13" t="str">
        <f>+IF(Siembras!G60="","",Siembras!G60)</f>
        <v/>
      </c>
      <c r="E62" s="21" t="str">
        <f>+IF(Siembras!H60="","",Siembras!H60)</f>
        <v/>
      </c>
      <c r="F62" s="13" t="str">
        <f>+IF(Plantilla_Siembras[[#This Row],[Posición]]="","",IF(Siembras!I60="No","1","0"))</f>
        <v/>
      </c>
      <c r="G62" s="11" t="str">
        <f>IF(Plantilla_Siembras[[#This Row],[Posición]]="","","Produccion")</f>
        <v/>
      </c>
      <c r="H62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62" s="13"/>
      <c r="J62" s="13"/>
      <c r="K62" s="11" t="str">
        <f>IF(Plantilla_Siembras[[#This Row],[Posición]]="","","Vegetativo")</f>
        <v/>
      </c>
      <c r="L62" s="11" t="str">
        <f>IF(Plantilla_Siembras[[#This Row],[Posición]]="","","No")</f>
        <v/>
      </c>
      <c r="M62" s="11" t="str">
        <f>IF(Plantilla_Siembras[[#This Row],[Posición]]="","","Suelo")</f>
        <v/>
      </c>
      <c r="N62" s="20"/>
    </row>
    <row r="63" spans="1:14" x14ac:dyDescent="0.35">
      <c r="A63" s="11" t="str">
        <f>IF(Siembras!B61="","",_xlfn.CONCAT(Siembras!B61,":",IF(ROUNDUP(Siembras!D61/4,0)&lt;10,_xlfn.CONCAT(0,ROUNDUP(Siembras!D61/4,0)),ROUNDUP(Siembras!D61/4,0)),":",Siembras!C61,":",Siembras!D61))</f>
        <v/>
      </c>
      <c r="B63" s="12" t="str">
        <f>+IF(Siembras!E61="","",Siembras!E61)</f>
        <v/>
      </c>
      <c r="C63" s="13" t="str">
        <f>+IF(Siembras!F61="","",Siembras!F61)</f>
        <v/>
      </c>
      <c r="D63" s="13" t="str">
        <f>+IF(Siembras!G61="","",Siembras!G61)</f>
        <v/>
      </c>
      <c r="E63" s="21" t="str">
        <f>+IF(Siembras!H61="","",Siembras!H61)</f>
        <v/>
      </c>
      <c r="F63" s="13" t="str">
        <f>+IF(Plantilla_Siembras[[#This Row],[Posición]]="","",IF(Siembras!I61="No","1","0"))</f>
        <v/>
      </c>
      <c r="G63" s="11" t="str">
        <f>IF(Plantilla_Siembras[[#This Row],[Posición]]="","","Produccion")</f>
        <v/>
      </c>
      <c r="H63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63" s="13"/>
      <c r="J63" s="13"/>
      <c r="K63" s="11" t="str">
        <f>IF(Plantilla_Siembras[[#This Row],[Posición]]="","","Vegetativo")</f>
        <v/>
      </c>
      <c r="L63" s="11" t="str">
        <f>IF(Plantilla_Siembras[[#This Row],[Posición]]="","","No")</f>
        <v/>
      </c>
      <c r="M63" s="11" t="str">
        <f>IF(Plantilla_Siembras[[#This Row],[Posición]]="","","Suelo")</f>
        <v/>
      </c>
      <c r="N63" s="20"/>
    </row>
    <row r="64" spans="1:14" x14ac:dyDescent="0.35">
      <c r="A64" s="11" t="str">
        <f>IF(Siembras!B62="","",_xlfn.CONCAT(Siembras!B62,":",IF(ROUNDUP(Siembras!D62/4,0)&lt;10,_xlfn.CONCAT(0,ROUNDUP(Siembras!D62/4,0)),ROUNDUP(Siembras!D62/4,0)),":",Siembras!C62,":",Siembras!D62))</f>
        <v/>
      </c>
      <c r="B64" s="12" t="str">
        <f>+IF(Siembras!E62="","",Siembras!E62)</f>
        <v/>
      </c>
      <c r="C64" s="13" t="str">
        <f>+IF(Siembras!F62="","",Siembras!F62)</f>
        <v/>
      </c>
      <c r="D64" s="13" t="str">
        <f>+IF(Siembras!G62="","",Siembras!G62)</f>
        <v/>
      </c>
      <c r="E64" s="21" t="str">
        <f>+IF(Siembras!H62="","",Siembras!H62)</f>
        <v/>
      </c>
      <c r="F64" s="13" t="str">
        <f>+IF(Plantilla_Siembras[[#This Row],[Posición]]="","",IF(Siembras!I62="No","1","0"))</f>
        <v/>
      </c>
      <c r="G64" s="11" t="str">
        <f>IF(Plantilla_Siembras[[#This Row],[Posición]]="","","Produccion")</f>
        <v/>
      </c>
      <c r="H64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64" s="13"/>
      <c r="J64" s="13"/>
      <c r="K64" s="11" t="str">
        <f>IF(Plantilla_Siembras[[#This Row],[Posición]]="","","Vegetativo")</f>
        <v/>
      </c>
      <c r="L64" s="11" t="str">
        <f>IF(Plantilla_Siembras[[#This Row],[Posición]]="","","No")</f>
        <v/>
      </c>
      <c r="M64" s="11" t="str">
        <f>IF(Plantilla_Siembras[[#This Row],[Posición]]="","","Suelo")</f>
        <v/>
      </c>
      <c r="N64" s="20"/>
    </row>
    <row r="65" spans="1:14" x14ac:dyDescent="0.35">
      <c r="A65" s="11" t="str">
        <f>IF(Siembras!B63="","",_xlfn.CONCAT(Siembras!B63,":",IF(ROUNDUP(Siembras!D63/4,0)&lt;10,_xlfn.CONCAT(0,ROUNDUP(Siembras!D63/4,0)),ROUNDUP(Siembras!D63/4,0)),":",Siembras!C63,":",Siembras!D63))</f>
        <v/>
      </c>
      <c r="B65" s="12" t="str">
        <f>+IF(Siembras!E63="","",Siembras!E63)</f>
        <v/>
      </c>
      <c r="C65" s="13" t="str">
        <f>+IF(Siembras!F63="","",Siembras!F63)</f>
        <v/>
      </c>
      <c r="D65" s="13" t="str">
        <f>+IF(Siembras!G63="","",Siembras!G63)</f>
        <v/>
      </c>
      <c r="E65" s="21" t="str">
        <f>+IF(Siembras!H63="","",Siembras!H63)</f>
        <v/>
      </c>
      <c r="F65" s="13" t="str">
        <f>+IF(Plantilla_Siembras[[#This Row],[Posición]]="","",IF(Siembras!I63="No","1","0"))</f>
        <v/>
      </c>
      <c r="G65" s="11" t="str">
        <f>IF(Plantilla_Siembras[[#This Row],[Posición]]="","","Produccion")</f>
        <v/>
      </c>
      <c r="H65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65" s="13"/>
      <c r="J65" s="13"/>
      <c r="K65" s="11" t="str">
        <f>IF(Plantilla_Siembras[[#This Row],[Posición]]="","","Vegetativo")</f>
        <v/>
      </c>
      <c r="L65" s="11" t="str">
        <f>IF(Plantilla_Siembras[[#This Row],[Posición]]="","","No")</f>
        <v/>
      </c>
      <c r="M65" s="11" t="str">
        <f>IF(Plantilla_Siembras[[#This Row],[Posición]]="","","Suelo")</f>
        <v/>
      </c>
      <c r="N65" s="20"/>
    </row>
    <row r="66" spans="1:14" x14ac:dyDescent="0.35">
      <c r="A66" s="11" t="str">
        <f>IF(Siembras!B64="","",_xlfn.CONCAT(Siembras!B64,":",IF(ROUNDUP(Siembras!D64/4,0)&lt;10,_xlfn.CONCAT(0,ROUNDUP(Siembras!D64/4,0)),ROUNDUP(Siembras!D64/4,0)),":",Siembras!C64,":",Siembras!D64))</f>
        <v/>
      </c>
      <c r="B66" s="12" t="str">
        <f>+IF(Siembras!E64="","",Siembras!E64)</f>
        <v/>
      </c>
      <c r="C66" s="13" t="str">
        <f>+IF(Siembras!F64="","",Siembras!F64)</f>
        <v/>
      </c>
      <c r="D66" s="13" t="str">
        <f>+IF(Siembras!G64="","",Siembras!G64)</f>
        <v/>
      </c>
      <c r="E66" s="21" t="str">
        <f>+IF(Siembras!H64="","",Siembras!H64)</f>
        <v/>
      </c>
      <c r="F66" s="13" t="str">
        <f>+IF(Plantilla_Siembras[[#This Row],[Posición]]="","",IF(Siembras!I64="No","1","0"))</f>
        <v/>
      </c>
      <c r="G66" s="11" t="str">
        <f>IF(Plantilla_Siembras[[#This Row],[Posición]]="","","Produccion")</f>
        <v/>
      </c>
      <c r="H66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66" s="13"/>
      <c r="J66" s="13"/>
      <c r="K66" s="11" t="str">
        <f>IF(Plantilla_Siembras[[#This Row],[Posición]]="","","Vegetativo")</f>
        <v/>
      </c>
      <c r="L66" s="11" t="str">
        <f>IF(Plantilla_Siembras[[#This Row],[Posición]]="","","No")</f>
        <v/>
      </c>
      <c r="M66" s="11" t="str">
        <f>IF(Plantilla_Siembras[[#This Row],[Posición]]="","","Suelo")</f>
        <v/>
      </c>
      <c r="N66" s="20"/>
    </row>
    <row r="67" spans="1:14" x14ac:dyDescent="0.35">
      <c r="A67" s="11" t="str">
        <f>IF(Siembras!B65="","",_xlfn.CONCAT(Siembras!B65,":",IF(ROUNDUP(Siembras!D65/4,0)&lt;10,_xlfn.CONCAT(0,ROUNDUP(Siembras!D65/4,0)),ROUNDUP(Siembras!D65/4,0)),":",Siembras!C65,":",Siembras!D65))</f>
        <v/>
      </c>
      <c r="B67" s="12" t="str">
        <f>+IF(Siembras!E65="","",Siembras!E65)</f>
        <v/>
      </c>
      <c r="C67" s="13" t="str">
        <f>+IF(Siembras!F65="","",Siembras!F65)</f>
        <v/>
      </c>
      <c r="D67" s="13" t="str">
        <f>+IF(Siembras!G65="","",Siembras!G65)</f>
        <v/>
      </c>
      <c r="E67" s="21" t="str">
        <f>+IF(Siembras!H65="","",Siembras!H65)</f>
        <v/>
      </c>
      <c r="F67" s="13" t="str">
        <f>+IF(Plantilla_Siembras[[#This Row],[Posición]]="","",IF(Siembras!I65="No","1","0"))</f>
        <v/>
      </c>
      <c r="G67" s="11" t="str">
        <f>IF(Plantilla_Siembras[[#This Row],[Posición]]="","","Produccion")</f>
        <v/>
      </c>
      <c r="H67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67" s="13"/>
      <c r="J67" s="13"/>
      <c r="K67" s="11" t="str">
        <f>IF(Plantilla_Siembras[[#This Row],[Posición]]="","","Vegetativo")</f>
        <v/>
      </c>
      <c r="L67" s="11" t="str">
        <f>IF(Plantilla_Siembras[[#This Row],[Posición]]="","","No")</f>
        <v/>
      </c>
      <c r="M67" s="11" t="str">
        <f>IF(Plantilla_Siembras[[#This Row],[Posición]]="","","Suelo")</f>
        <v/>
      </c>
      <c r="N67" s="20"/>
    </row>
    <row r="68" spans="1:14" x14ac:dyDescent="0.35">
      <c r="A68" s="11" t="str">
        <f>IF(Siembras!B66="","",_xlfn.CONCAT(Siembras!B66,":",IF(ROUNDUP(Siembras!D66/4,0)&lt;10,_xlfn.CONCAT(0,ROUNDUP(Siembras!D66/4,0)),ROUNDUP(Siembras!D66/4,0)),":",Siembras!C66,":",Siembras!D66))</f>
        <v/>
      </c>
      <c r="B68" s="12" t="str">
        <f>+IF(Siembras!E66="","",Siembras!E66)</f>
        <v/>
      </c>
      <c r="C68" s="13" t="str">
        <f>+IF(Siembras!F66="","",Siembras!F66)</f>
        <v/>
      </c>
      <c r="D68" s="13" t="str">
        <f>+IF(Siembras!G66="","",Siembras!G66)</f>
        <v/>
      </c>
      <c r="E68" s="21" t="str">
        <f>+IF(Siembras!H66="","",Siembras!H66)</f>
        <v/>
      </c>
      <c r="F68" s="13" t="str">
        <f>+IF(Plantilla_Siembras[[#This Row],[Posición]]="","",IF(Siembras!I66="No","1","0"))</f>
        <v/>
      </c>
      <c r="G68" s="11" t="str">
        <f>IF(Plantilla_Siembras[[#This Row],[Posición]]="","","Produccion")</f>
        <v/>
      </c>
      <c r="H68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68" s="13"/>
      <c r="J68" s="13"/>
      <c r="K68" s="11" t="str">
        <f>IF(Plantilla_Siembras[[#This Row],[Posición]]="","","Vegetativo")</f>
        <v/>
      </c>
      <c r="L68" s="11" t="str">
        <f>IF(Plantilla_Siembras[[#This Row],[Posición]]="","","No")</f>
        <v/>
      </c>
      <c r="M68" s="11" t="str">
        <f>IF(Plantilla_Siembras[[#This Row],[Posición]]="","","Suelo")</f>
        <v/>
      </c>
      <c r="N68" s="20"/>
    </row>
    <row r="69" spans="1:14" x14ac:dyDescent="0.35">
      <c r="A69" s="11" t="str">
        <f>IF(Siembras!B67="","",_xlfn.CONCAT(Siembras!B67,":",IF(ROUNDUP(Siembras!D67/4,0)&lt;10,_xlfn.CONCAT(0,ROUNDUP(Siembras!D67/4,0)),ROUNDUP(Siembras!D67/4,0)),":",Siembras!C67,":",Siembras!D67))</f>
        <v/>
      </c>
      <c r="B69" s="12" t="str">
        <f>+IF(Siembras!E67="","",Siembras!E67)</f>
        <v/>
      </c>
      <c r="C69" s="13" t="str">
        <f>+IF(Siembras!F67="","",Siembras!F67)</f>
        <v/>
      </c>
      <c r="D69" s="13" t="str">
        <f>+IF(Siembras!G67="","",Siembras!G67)</f>
        <v/>
      </c>
      <c r="E69" s="21" t="str">
        <f>+IF(Siembras!H67="","",Siembras!H67)</f>
        <v/>
      </c>
      <c r="F69" s="13" t="str">
        <f>+IF(Plantilla_Siembras[[#This Row],[Posición]]="","",IF(Siembras!I67="No","1","0"))</f>
        <v/>
      </c>
      <c r="G69" s="11" t="str">
        <f>IF(Plantilla_Siembras[[#This Row],[Posición]]="","","Produccion")</f>
        <v/>
      </c>
      <c r="H69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69" s="13"/>
      <c r="J69" s="13"/>
      <c r="K69" s="11" t="str">
        <f>IF(Plantilla_Siembras[[#This Row],[Posición]]="","","Vegetativo")</f>
        <v/>
      </c>
      <c r="L69" s="11" t="str">
        <f>IF(Plantilla_Siembras[[#This Row],[Posición]]="","","No")</f>
        <v/>
      </c>
      <c r="M69" s="11" t="str">
        <f>IF(Plantilla_Siembras[[#This Row],[Posición]]="","","Suelo")</f>
        <v/>
      </c>
      <c r="N69" s="20"/>
    </row>
    <row r="70" spans="1:14" x14ac:dyDescent="0.35">
      <c r="A70" s="11" t="str">
        <f>IF(Siembras!B68="","",_xlfn.CONCAT(Siembras!B68,":",IF(ROUNDUP(Siembras!D68/4,0)&lt;10,_xlfn.CONCAT(0,ROUNDUP(Siembras!D68/4,0)),ROUNDUP(Siembras!D68/4,0)),":",Siembras!C68,":",Siembras!D68))</f>
        <v/>
      </c>
      <c r="B70" s="12" t="str">
        <f>+IF(Siembras!E68="","",Siembras!E68)</f>
        <v/>
      </c>
      <c r="C70" s="13" t="str">
        <f>+IF(Siembras!F68="","",Siembras!F68)</f>
        <v/>
      </c>
      <c r="D70" s="13" t="str">
        <f>+IF(Siembras!G68="","",Siembras!G68)</f>
        <v/>
      </c>
      <c r="E70" s="21" t="str">
        <f>+IF(Siembras!H68="","",Siembras!H68)</f>
        <v/>
      </c>
      <c r="F70" s="13" t="str">
        <f>+IF(Plantilla_Siembras[[#This Row],[Posición]]="","",IF(Siembras!I68="No","1","0"))</f>
        <v/>
      </c>
      <c r="G70" s="11" t="str">
        <f>IF(Plantilla_Siembras[[#This Row],[Posición]]="","","Produccion")</f>
        <v/>
      </c>
      <c r="H70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70" s="13"/>
      <c r="J70" s="13"/>
      <c r="K70" s="11" t="str">
        <f>IF(Plantilla_Siembras[[#This Row],[Posición]]="","","Vegetativo")</f>
        <v/>
      </c>
      <c r="L70" s="11" t="str">
        <f>IF(Plantilla_Siembras[[#This Row],[Posición]]="","","No")</f>
        <v/>
      </c>
      <c r="M70" s="11" t="str">
        <f>IF(Plantilla_Siembras[[#This Row],[Posición]]="","","Suelo")</f>
        <v/>
      </c>
      <c r="N70" s="20"/>
    </row>
    <row r="71" spans="1:14" x14ac:dyDescent="0.35">
      <c r="A71" s="11" t="str">
        <f>IF(Siembras!B69="","",_xlfn.CONCAT(Siembras!B69,":",IF(ROUNDUP(Siembras!D69/4,0)&lt;10,_xlfn.CONCAT(0,ROUNDUP(Siembras!D69/4,0)),ROUNDUP(Siembras!D69/4,0)),":",Siembras!C69,":",Siembras!D69))</f>
        <v/>
      </c>
      <c r="B71" s="12" t="str">
        <f>+IF(Siembras!E69="","",Siembras!E69)</f>
        <v/>
      </c>
      <c r="C71" s="13" t="str">
        <f>+IF(Siembras!F69="","",Siembras!F69)</f>
        <v/>
      </c>
      <c r="D71" s="13" t="str">
        <f>+IF(Siembras!G69="","",Siembras!G69)</f>
        <v/>
      </c>
      <c r="E71" s="21" t="str">
        <f>+IF(Siembras!H69="","",Siembras!H69)</f>
        <v/>
      </c>
      <c r="F71" s="13" t="str">
        <f>+IF(Plantilla_Siembras[[#This Row],[Posición]]="","",IF(Siembras!I69="No","1","0"))</f>
        <v/>
      </c>
      <c r="G71" s="11" t="str">
        <f>IF(Plantilla_Siembras[[#This Row],[Posición]]="","","Produccion")</f>
        <v/>
      </c>
      <c r="H71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71" s="13"/>
      <c r="J71" s="13"/>
      <c r="K71" s="11" t="str">
        <f>IF(Plantilla_Siembras[[#This Row],[Posición]]="","","Vegetativo")</f>
        <v/>
      </c>
      <c r="L71" s="11" t="str">
        <f>IF(Plantilla_Siembras[[#This Row],[Posición]]="","","No")</f>
        <v/>
      </c>
      <c r="M71" s="11" t="str">
        <f>IF(Plantilla_Siembras[[#This Row],[Posición]]="","","Suelo")</f>
        <v/>
      </c>
      <c r="N71" s="20"/>
    </row>
    <row r="72" spans="1:14" x14ac:dyDescent="0.35">
      <c r="A72" s="11" t="str">
        <f>IF(Siembras!B70="","",_xlfn.CONCAT(Siembras!B70,":",IF(ROUNDUP(Siembras!D70/4,0)&lt;10,_xlfn.CONCAT(0,ROUNDUP(Siembras!D70/4,0)),ROUNDUP(Siembras!D70/4,0)),":",Siembras!C70,":",Siembras!D70))</f>
        <v/>
      </c>
      <c r="B72" s="12" t="str">
        <f>+IF(Siembras!E70="","",Siembras!E70)</f>
        <v/>
      </c>
      <c r="C72" s="13" t="str">
        <f>+IF(Siembras!F70="","",Siembras!F70)</f>
        <v/>
      </c>
      <c r="D72" s="13" t="str">
        <f>+IF(Siembras!G70="","",Siembras!G70)</f>
        <v/>
      </c>
      <c r="E72" s="21" t="str">
        <f>+IF(Siembras!H70="","",Siembras!H70)</f>
        <v/>
      </c>
      <c r="F72" s="13" t="str">
        <f>+IF(Plantilla_Siembras[[#This Row],[Posición]]="","",IF(Siembras!I70="No","1","0"))</f>
        <v/>
      </c>
      <c r="G72" s="11" t="str">
        <f>IF(Plantilla_Siembras[[#This Row],[Posición]]="","","Produccion")</f>
        <v/>
      </c>
      <c r="H72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72" s="13"/>
      <c r="J72" s="13"/>
      <c r="K72" s="11" t="str">
        <f>IF(Plantilla_Siembras[[#This Row],[Posición]]="","","Vegetativo")</f>
        <v/>
      </c>
      <c r="L72" s="11" t="str">
        <f>IF(Plantilla_Siembras[[#This Row],[Posición]]="","","No")</f>
        <v/>
      </c>
      <c r="M72" s="11" t="str">
        <f>IF(Plantilla_Siembras[[#This Row],[Posición]]="","","Suelo")</f>
        <v/>
      </c>
      <c r="N72" s="20"/>
    </row>
    <row r="73" spans="1:14" x14ac:dyDescent="0.35">
      <c r="A73" s="11" t="str">
        <f>IF(Siembras!B71="","",_xlfn.CONCAT(Siembras!B71,":",IF(ROUNDUP(Siembras!D71/4,0)&lt;10,_xlfn.CONCAT(0,ROUNDUP(Siembras!D71/4,0)),ROUNDUP(Siembras!D71/4,0)),":",Siembras!C71,":",Siembras!D71))</f>
        <v/>
      </c>
      <c r="B73" s="12" t="str">
        <f>+IF(Siembras!E71="","",Siembras!E71)</f>
        <v/>
      </c>
      <c r="C73" s="13" t="str">
        <f>+IF(Siembras!F71="","",Siembras!F71)</f>
        <v/>
      </c>
      <c r="D73" s="13" t="str">
        <f>+IF(Siembras!G71="","",Siembras!G71)</f>
        <v/>
      </c>
      <c r="E73" s="21" t="str">
        <f>+IF(Siembras!H71="","",Siembras!H71)</f>
        <v/>
      </c>
      <c r="F73" s="13" t="str">
        <f>+IF(Plantilla_Siembras[[#This Row],[Posición]]="","",IF(Siembras!I71="No","1","0"))</f>
        <v/>
      </c>
      <c r="G73" s="11" t="str">
        <f>IF(Plantilla_Siembras[[#This Row],[Posición]]="","","Produccion")</f>
        <v/>
      </c>
      <c r="H73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73" s="13"/>
      <c r="J73" s="13"/>
      <c r="K73" s="11" t="str">
        <f>IF(Plantilla_Siembras[[#This Row],[Posición]]="","","Vegetativo")</f>
        <v/>
      </c>
      <c r="L73" s="11" t="str">
        <f>IF(Plantilla_Siembras[[#This Row],[Posición]]="","","No")</f>
        <v/>
      </c>
      <c r="M73" s="11" t="str">
        <f>IF(Plantilla_Siembras[[#This Row],[Posición]]="","","Suelo")</f>
        <v/>
      </c>
      <c r="N73" s="20"/>
    </row>
    <row r="74" spans="1:14" x14ac:dyDescent="0.35">
      <c r="A74" s="11" t="str">
        <f>IF(Siembras!B72="","",_xlfn.CONCAT(Siembras!B72,":",IF(ROUNDUP(Siembras!D72/4,0)&lt;10,_xlfn.CONCAT(0,ROUNDUP(Siembras!D72/4,0)),ROUNDUP(Siembras!D72/4,0)),":",Siembras!C72,":",Siembras!D72))</f>
        <v/>
      </c>
      <c r="B74" s="12" t="str">
        <f>+IF(Siembras!E72="","",Siembras!E72)</f>
        <v/>
      </c>
      <c r="C74" s="13" t="str">
        <f>+IF(Siembras!F72="","",Siembras!F72)</f>
        <v/>
      </c>
      <c r="D74" s="13" t="str">
        <f>+IF(Siembras!G72="","",Siembras!G72)</f>
        <v/>
      </c>
      <c r="E74" s="21" t="str">
        <f>+IF(Siembras!H72="","",Siembras!H72)</f>
        <v/>
      </c>
      <c r="F74" s="13" t="str">
        <f>+IF(Plantilla_Siembras[[#This Row],[Posición]]="","",IF(Siembras!I72="No","1","0"))</f>
        <v/>
      </c>
      <c r="G74" s="11" t="str">
        <f>IF(Plantilla_Siembras[[#This Row],[Posición]]="","","Produccion")</f>
        <v/>
      </c>
      <c r="H74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74" s="13"/>
      <c r="J74" s="13"/>
      <c r="K74" s="11" t="str">
        <f>IF(Plantilla_Siembras[[#This Row],[Posición]]="","","Vegetativo")</f>
        <v/>
      </c>
      <c r="L74" s="11" t="str">
        <f>IF(Plantilla_Siembras[[#This Row],[Posición]]="","","No")</f>
        <v/>
      </c>
      <c r="M74" s="11" t="str">
        <f>IF(Plantilla_Siembras[[#This Row],[Posición]]="","","Suelo")</f>
        <v/>
      </c>
      <c r="N74" s="20"/>
    </row>
    <row r="75" spans="1:14" x14ac:dyDescent="0.35">
      <c r="A75" s="11" t="str">
        <f>IF(Siembras!B73="","",_xlfn.CONCAT(Siembras!B73,":",IF(ROUNDUP(Siembras!D73/4,0)&lt;10,_xlfn.CONCAT(0,ROUNDUP(Siembras!D73/4,0)),ROUNDUP(Siembras!D73/4,0)),":",Siembras!C73,":",Siembras!D73))</f>
        <v/>
      </c>
      <c r="B75" s="12" t="str">
        <f>+IF(Siembras!E73="","",Siembras!E73)</f>
        <v/>
      </c>
      <c r="C75" s="13" t="str">
        <f>+IF(Siembras!F73="","",Siembras!F73)</f>
        <v/>
      </c>
      <c r="D75" s="13" t="str">
        <f>+IF(Siembras!G73="","",Siembras!G73)</f>
        <v/>
      </c>
      <c r="E75" s="21" t="str">
        <f>+IF(Siembras!H73="","",Siembras!H73)</f>
        <v/>
      </c>
      <c r="F75" s="13" t="str">
        <f>+IF(Plantilla_Siembras[[#This Row],[Posición]]="","",IF(Siembras!I73="No","1","0"))</f>
        <v/>
      </c>
      <c r="G75" s="11" t="str">
        <f>IF(Plantilla_Siembras[[#This Row],[Posición]]="","","Produccion")</f>
        <v/>
      </c>
      <c r="H75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75" s="13"/>
      <c r="J75" s="13"/>
      <c r="K75" s="11" t="str">
        <f>IF(Plantilla_Siembras[[#This Row],[Posición]]="","","Vegetativo")</f>
        <v/>
      </c>
      <c r="L75" s="11" t="str">
        <f>IF(Plantilla_Siembras[[#This Row],[Posición]]="","","No")</f>
        <v/>
      </c>
      <c r="M75" s="11" t="str">
        <f>IF(Plantilla_Siembras[[#This Row],[Posición]]="","","Suelo")</f>
        <v/>
      </c>
      <c r="N75" s="20"/>
    </row>
    <row r="76" spans="1:14" x14ac:dyDescent="0.35">
      <c r="A76" s="11" t="str">
        <f>IF(Siembras!B74="","",_xlfn.CONCAT(Siembras!B74,":",IF(ROUNDUP(Siembras!D74/4,0)&lt;10,_xlfn.CONCAT(0,ROUNDUP(Siembras!D74/4,0)),ROUNDUP(Siembras!D74/4,0)),":",Siembras!C74,":",Siembras!D74))</f>
        <v/>
      </c>
      <c r="B76" s="12" t="str">
        <f>+IF(Siembras!E74="","",Siembras!E74)</f>
        <v/>
      </c>
      <c r="C76" s="13" t="str">
        <f>+IF(Siembras!F74="","",Siembras!F74)</f>
        <v/>
      </c>
      <c r="D76" s="13" t="str">
        <f>+IF(Siembras!G74="","",Siembras!G74)</f>
        <v/>
      </c>
      <c r="E76" s="21" t="str">
        <f>+IF(Siembras!H74="","",Siembras!H74)</f>
        <v/>
      </c>
      <c r="F76" s="13" t="str">
        <f>+IF(Plantilla_Siembras[[#This Row],[Posición]]="","",IF(Siembras!I74="No","1","0"))</f>
        <v/>
      </c>
      <c r="G76" s="11" t="str">
        <f>IF(Plantilla_Siembras[[#This Row],[Posición]]="","","Produccion")</f>
        <v/>
      </c>
      <c r="H76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76" s="13"/>
      <c r="J76" s="13"/>
      <c r="K76" s="11" t="str">
        <f>IF(Plantilla_Siembras[[#This Row],[Posición]]="","","Vegetativo")</f>
        <v/>
      </c>
      <c r="L76" s="11" t="str">
        <f>IF(Plantilla_Siembras[[#This Row],[Posición]]="","","No")</f>
        <v/>
      </c>
      <c r="M76" s="11" t="str">
        <f>IF(Plantilla_Siembras[[#This Row],[Posición]]="","","Suelo")</f>
        <v/>
      </c>
      <c r="N76" s="20"/>
    </row>
    <row r="77" spans="1:14" x14ac:dyDescent="0.35">
      <c r="A77" s="11" t="str">
        <f>IF(Siembras!B75="","",_xlfn.CONCAT(Siembras!B75,":",IF(ROUNDUP(Siembras!D75/4,0)&lt;10,_xlfn.CONCAT(0,ROUNDUP(Siembras!D75/4,0)),ROUNDUP(Siembras!D75/4,0)),":",Siembras!C75,":",Siembras!D75))</f>
        <v/>
      </c>
      <c r="B77" s="12" t="str">
        <f>+IF(Siembras!E75="","",Siembras!E75)</f>
        <v/>
      </c>
      <c r="C77" s="13" t="str">
        <f>+IF(Siembras!F75="","",Siembras!F75)</f>
        <v/>
      </c>
      <c r="D77" s="13" t="str">
        <f>+IF(Siembras!G75="","",Siembras!G75)</f>
        <v/>
      </c>
      <c r="E77" s="21" t="str">
        <f>+IF(Siembras!H75="","",Siembras!H75)</f>
        <v/>
      </c>
      <c r="F77" s="13" t="str">
        <f>+IF(Plantilla_Siembras[[#This Row],[Posición]]="","",IF(Siembras!I75="No","1","0"))</f>
        <v/>
      </c>
      <c r="G77" s="11" t="str">
        <f>IF(Plantilla_Siembras[[#This Row],[Posición]]="","","Produccion")</f>
        <v/>
      </c>
      <c r="H77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77" s="13"/>
      <c r="J77" s="13"/>
      <c r="K77" s="11" t="str">
        <f>IF(Plantilla_Siembras[[#This Row],[Posición]]="","","Vegetativo")</f>
        <v/>
      </c>
      <c r="L77" s="11" t="str">
        <f>IF(Plantilla_Siembras[[#This Row],[Posición]]="","","No")</f>
        <v/>
      </c>
      <c r="M77" s="11" t="str">
        <f>IF(Plantilla_Siembras[[#This Row],[Posición]]="","","Suelo")</f>
        <v/>
      </c>
      <c r="N77" s="20"/>
    </row>
    <row r="78" spans="1:14" x14ac:dyDescent="0.35">
      <c r="A78" s="11" t="str">
        <f>IF(Siembras!B76="","",_xlfn.CONCAT(Siembras!B76,":",IF(ROUNDUP(Siembras!D76/4,0)&lt;10,_xlfn.CONCAT(0,ROUNDUP(Siembras!D76/4,0)),ROUNDUP(Siembras!D76/4,0)),":",Siembras!C76,":",Siembras!D76))</f>
        <v/>
      </c>
      <c r="B78" s="12" t="str">
        <f>+IF(Siembras!E76="","",Siembras!E76)</f>
        <v/>
      </c>
      <c r="C78" s="13" t="str">
        <f>+IF(Siembras!F76="","",Siembras!F76)</f>
        <v/>
      </c>
      <c r="D78" s="13" t="str">
        <f>+IF(Siembras!G76="","",Siembras!G76)</f>
        <v/>
      </c>
      <c r="E78" s="21" t="str">
        <f>+IF(Siembras!H76="","",Siembras!H76)</f>
        <v/>
      </c>
      <c r="F78" s="13" t="str">
        <f>+IF(Plantilla_Siembras[[#This Row],[Posición]]="","",IF(Siembras!I76="No","1","0"))</f>
        <v/>
      </c>
      <c r="G78" s="11" t="str">
        <f>IF(Plantilla_Siembras[[#This Row],[Posición]]="","","Produccion")</f>
        <v/>
      </c>
      <c r="H78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78" s="13"/>
      <c r="J78" s="13"/>
      <c r="K78" s="11" t="str">
        <f>IF(Plantilla_Siembras[[#This Row],[Posición]]="","","Vegetativo")</f>
        <v/>
      </c>
      <c r="L78" s="11" t="str">
        <f>IF(Plantilla_Siembras[[#This Row],[Posición]]="","","No")</f>
        <v/>
      </c>
      <c r="M78" s="11" t="str">
        <f>IF(Plantilla_Siembras[[#This Row],[Posición]]="","","Suelo")</f>
        <v/>
      </c>
      <c r="N78" s="20"/>
    </row>
    <row r="79" spans="1:14" x14ac:dyDescent="0.35">
      <c r="A79" s="11" t="str">
        <f>IF(Siembras!B77="","",_xlfn.CONCAT(Siembras!B77,":",IF(ROUNDUP(Siembras!D77/4,0)&lt;10,_xlfn.CONCAT(0,ROUNDUP(Siembras!D77/4,0)),ROUNDUP(Siembras!D77/4,0)),":",Siembras!C77,":",Siembras!D77))</f>
        <v/>
      </c>
      <c r="B79" s="12" t="str">
        <f>+IF(Siembras!E77="","",Siembras!E77)</f>
        <v/>
      </c>
      <c r="C79" s="13" t="str">
        <f>+IF(Siembras!F77="","",Siembras!F77)</f>
        <v/>
      </c>
      <c r="D79" s="13" t="str">
        <f>+IF(Siembras!G77="","",Siembras!G77)</f>
        <v/>
      </c>
      <c r="E79" s="21" t="str">
        <f>+IF(Siembras!H77="","",Siembras!H77)</f>
        <v/>
      </c>
      <c r="F79" s="13" t="str">
        <f>+IF(Plantilla_Siembras[[#This Row],[Posición]]="","",IF(Siembras!I77="No","1","0"))</f>
        <v/>
      </c>
      <c r="G79" s="11" t="str">
        <f>IF(Plantilla_Siembras[[#This Row],[Posición]]="","","Produccion")</f>
        <v/>
      </c>
      <c r="H79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79" s="13"/>
      <c r="J79" s="13"/>
      <c r="K79" s="11" t="str">
        <f>IF(Plantilla_Siembras[[#This Row],[Posición]]="","","Vegetativo")</f>
        <v/>
      </c>
      <c r="L79" s="11" t="str">
        <f>IF(Plantilla_Siembras[[#This Row],[Posición]]="","","No")</f>
        <v/>
      </c>
      <c r="M79" s="11" t="str">
        <f>IF(Plantilla_Siembras[[#This Row],[Posición]]="","","Suelo")</f>
        <v/>
      </c>
      <c r="N79" s="20"/>
    </row>
    <row r="80" spans="1:14" x14ac:dyDescent="0.35">
      <c r="A80" s="11" t="str">
        <f>IF(Siembras!B78="","",_xlfn.CONCAT(Siembras!B78,":",IF(ROUNDUP(Siembras!D78/4,0)&lt;10,_xlfn.CONCAT(0,ROUNDUP(Siembras!D78/4,0)),ROUNDUP(Siembras!D78/4,0)),":",Siembras!C78,":",Siembras!D78))</f>
        <v/>
      </c>
      <c r="B80" s="12" t="str">
        <f>+IF(Siembras!E78="","",Siembras!E78)</f>
        <v/>
      </c>
      <c r="C80" s="13" t="str">
        <f>+IF(Siembras!F78="","",Siembras!F78)</f>
        <v/>
      </c>
      <c r="D80" s="13" t="str">
        <f>+IF(Siembras!G78="","",Siembras!G78)</f>
        <v/>
      </c>
      <c r="E80" s="21" t="str">
        <f>+IF(Siembras!H78="","",Siembras!H78)</f>
        <v/>
      </c>
      <c r="F80" s="13" t="str">
        <f>+IF(Plantilla_Siembras[[#This Row],[Posición]]="","",IF(Siembras!I78="No","1","0"))</f>
        <v/>
      </c>
      <c r="G80" s="11" t="str">
        <f>IF(Plantilla_Siembras[[#This Row],[Posición]]="","","Produccion")</f>
        <v/>
      </c>
      <c r="H80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80" s="13"/>
      <c r="J80" s="13"/>
      <c r="K80" s="11" t="str">
        <f>IF(Plantilla_Siembras[[#This Row],[Posición]]="","","Vegetativo")</f>
        <v/>
      </c>
      <c r="L80" s="11" t="str">
        <f>IF(Plantilla_Siembras[[#This Row],[Posición]]="","","No")</f>
        <v/>
      </c>
      <c r="M80" s="11" t="str">
        <f>IF(Plantilla_Siembras[[#This Row],[Posición]]="","","Suelo")</f>
        <v/>
      </c>
      <c r="N80" s="20"/>
    </row>
    <row r="81" spans="1:14" x14ac:dyDescent="0.35">
      <c r="A81" s="11" t="str">
        <f>IF(Siembras!B79="","",_xlfn.CONCAT(Siembras!B79,":",IF(ROUNDUP(Siembras!D79/4,0)&lt;10,_xlfn.CONCAT(0,ROUNDUP(Siembras!D79/4,0)),ROUNDUP(Siembras!D79/4,0)),":",Siembras!C79,":",Siembras!D79))</f>
        <v/>
      </c>
      <c r="B81" s="12" t="str">
        <f>+IF(Siembras!E79="","",Siembras!E79)</f>
        <v/>
      </c>
      <c r="C81" s="13" t="str">
        <f>+IF(Siembras!F79="","",Siembras!F79)</f>
        <v/>
      </c>
      <c r="D81" s="13" t="str">
        <f>+IF(Siembras!G79="","",Siembras!G79)</f>
        <v/>
      </c>
      <c r="E81" s="21" t="str">
        <f>+IF(Siembras!H79="","",Siembras!H79)</f>
        <v/>
      </c>
      <c r="F81" s="13" t="str">
        <f>+IF(Plantilla_Siembras[[#This Row],[Posición]]="","",IF(Siembras!I79="No","1","0"))</f>
        <v/>
      </c>
      <c r="G81" s="11" t="str">
        <f>IF(Plantilla_Siembras[[#This Row],[Posición]]="","","Produccion")</f>
        <v/>
      </c>
      <c r="H81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81" s="13"/>
      <c r="J81" s="13"/>
      <c r="K81" s="11" t="str">
        <f>IF(Plantilla_Siembras[[#This Row],[Posición]]="","","Vegetativo")</f>
        <v/>
      </c>
      <c r="L81" s="11" t="str">
        <f>IF(Plantilla_Siembras[[#This Row],[Posición]]="","","No")</f>
        <v/>
      </c>
      <c r="M81" s="11" t="str">
        <f>IF(Plantilla_Siembras[[#This Row],[Posición]]="","","Suelo")</f>
        <v/>
      </c>
      <c r="N81" s="20"/>
    </row>
    <row r="82" spans="1:14" x14ac:dyDescent="0.35">
      <c r="A82" s="11" t="str">
        <f>IF(Siembras!B80="","",_xlfn.CONCAT(Siembras!B80,":",IF(ROUNDUP(Siembras!D80/4,0)&lt;10,_xlfn.CONCAT(0,ROUNDUP(Siembras!D80/4,0)),ROUNDUP(Siembras!D80/4,0)),":",Siembras!C80,":",Siembras!D80))</f>
        <v/>
      </c>
      <c r="B82" s="12" t="str">
        <f>+IF(Siembras!E80="","",Siembras!E80)</f>
        <v/>
      </c>
      <c r="C82" s="13" t="str">
        <f>+IF(Siembras!F80="","",Siembras!F80)</f>
        <v/>
      </c>
      <c r="D82" s="13" t="str">
        <f>+IF(Siembras!G80="","",Siembras!G80)</f>
        <v/>
      </c>
      <c r="E82" s="21" t="str">
        <f>+IF(Siembras!H80="","",Siembras!H80)</f>
        <v/>
      </c>
      <c r="F82" s="13" t="str">
        <f>+IF(Plantilla_Siembras[[#This Row],[Posición]]="","",IF(Siembras!I80="No","1","0"))</f>
        <v/>
      </c>
      <c r="G82" s="11" t="str">
        <f>IF(Plantilla_Siembras[[#This Row],[Posición]]="","","Produccion")</f>
        <v/>
      </c>
      <c r="H82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82" s="13"/>
      <c r="J82" s="13"/>
      <c r="K82" s="11" t="str">
        <f>IF(Plantilla_Siembras[[#This Row],[Posición]]="","","Vegetativo")</f>
        <v/>
      </c>
      <c r="L82" s="11" t="str">
        <f>IF(Plantilla_Siembras[[#This Row],[Posición]]="","","No")</f>
        <v/>
      </c>
      <c r="M82" s="11" t="str">
        <f>IF(Plantilla_Siembras[[#This Row],[Posición]]="","","Suelo")</f>
        <v/>
      </c>
      <c r="N82" s="20"/>
    </row>
    <row r="83" spans="1:14" x14ac:dyDescent="0.35">
      <c r="A83" s="11" t="str">
        <f>IF(Siembras!B81="","",_xlfn.CONCAT(Siembras!B81,":",IF(ROUNDUP(Siembras!D81/4,0)&lt;10,_xlfn.CONCAT(0,ROUNDUP(Siembras!D81/4,0)),ROUNDUP(Siembras!D81/4,0)),":",Siembras!C81,":",Siembras!D81))</f>
        <v/>
      </c>
      <c r="B83" s="12" t="str">
        <f>+IF(Siembras!E81="","",Siembras!E81)</f>
        <v/>
      </c>
      <c r="C83" s="13" t="str">
        <f>+IF(Siembras!F81="","",Siembras!F81)</f>
        <v/>
      </c>
      <c r="D83" s="13" t="str">
        <f>+IF(Siembras!G81="","",Siembras!G81)</f>
        <v/>
      </c>
      <c r="E83" s="21" t="str">
        <f>+IF(Siembras!H81="","",Siembras!H81)</f>
        <v/>
      </c>
      <c r="F83" s="13" t="str">
        <f>+IF(Plantilla_Siembras[[#This Row],[Posición]]="","",IF(Siembras!I81="No","1","0"))</f>
        <v/>
      </c>
      <c r="G83" s="11" t="str">
        <f>IF(Plantilla_Siembras[[#This Row],[Posición]]="","","Produccion")</f>
        <v/>
      </c>
      <c r="H83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83" s="13"/>
      <c r="J83" s="13"/>
      <c r="K83" s="11" t="str">
        <f>IF(Plantilla_Siembras[[#This Row],[Posición]]="","","Vegetativo")</f>
        <v/>
      </c>
      <c r="L83" s="11" t="str">
        <f>IF(Plantilla_Siembras[[#This Row],[Posición]]="","","No")</f>
        <v/>
      </c>
      <c r="M83" s="11" t="str">
        <f>IF(Plantilla_Siembras[[#This Row],[Posición]]="","","Suelo")</f>
        <v/>
      </c>
      <c r="N83" s="20"/>
    </row>
    <row r="84" spans="1:14" x14ac:dyDescent="0.35">
      <c r="A84" s="11" t="str">
        <f>IF(Siembras!B82="","",_xlfn.CONCAT(Siembras!B82,":",IF(ROUNDUP(Siembras!D82/4,0)&lt;10,_xlfn.CONCAT(0,ROUNDUP(Siembras!D82/4,0)),ROUNDUP(Siembras!D82/4,0)),":",Siembras!C82,":",Siembras!D82))</f>
        <v/>
      </c>
      <c r="B84" s="12" t="str">
        <f>+IF(Siembras!E82="","",Siembras!E82)</f>
        <v/>
      </c>
      <c r="C84" s="13" t="str">
        <f>+IF(Siembras!F82="","",Siembras!F82)</f>
        <v/>
      </c>
      <c r="D84" s="13" t="str">
        <f>+IF(Siembras!G82="","",Siembras!G82)</f>
        <v/>
      </c>
      <c r="E84" s="21" t="str">
        <f>+IF(Siembras!H82="","",Siembras!H82)</f>
        <v/>
      </c>
      <c r="F84" s="13" t="str">
        <f>+IF(Plantilla_Siembras[[#This Row],[Posición]]="","",IF(Siembras!I82="No","1","0"))</f>
        <v/>
      </c>
      <c r="G84" s="11" t="str">
        <f>IF(Plantilla_Siembras[[#This Row],[Posición]]="","","Produccion")</f>
        <v/>
      </c>
      <c r="H84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84" s="13"/>
      <c r="J84" s="13"/>
      <c r="K84" s="11" t="str">
        <f>IF(Plantilla_Siembras[[#This Row],[Posición]]="","","Vegetativo")</f>
        <v/>
      </c>
      <c r="L84" s="11" t="str">
        <f>IF(Plantilla_Siembras[[#This Row],[Posición]]="","","No")</f>
        <v/>
      </c>
      <c r="M84" s="11" t="str">
        <f>IF(Plantilla_Siembras[[#This Row],[Posición]]="","","Suelo")</f>
        <v/>
      </c>
      <c r="N84" s="20"/>
    </row>
    <row r="85" spans="1:14" x14ac:dyDescent="0.35">
      <c r="A85" s="11" t="str">
        <f>IF(Siembras!B83="","",_xlfn.CONCAT(Siembras!B83,":",IF(ROUNDUP(Siembras!D83/4,0)&lt;10,_xlfn.CONCAT(0,ROUNDUP(Siembras!D83/4,0)),ROUNDUP(Siembras!D83/4,0)),":",Siembras!C83,":",Siembras!D83))</f>
        <v/>
      </c>
      <c r="B85" s="12" t="str">
        <f>+IF(Siembras!E83="","",Siembras!E83)</f>
        <v/>
      </c>
      <c r="C85" s="13" t="str">
        <f>+IF(Siembras!F83="","",Siembras!F83)</f>
        <v/>
      </c>
      <c r="D85" s="13" t="str">
        <f>+IF(Siembras!G83="","",Siembras!G83)</f>
        <v/>
      </c>
      <c r="E85" s="21" t="str">
        <f>+IF(Siembras!H83="","",Siembras!H83)</f>
        <v/>
      </c>
      <c r="F85" s="13" t="str">
        <f>+IF(Plantilla_Siembras[[#This Row],[Posición]]="","",IF(Siembras!I83="No","1","0"))</f>
        <v/>
      </c>
      <c r="G85" s="11" t="str">
        <f>IF(Plantilla_Siembras[[#This Row],[Posición]]="","","Produccion")</f>
        <v/>
      </c>
      <c r="H85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85" s="13"/>
      <c r="J85" s="13"/>
      <c r="K85" s="11" t="str">
        <f>IF(Plantilla_Siembras[[#This Row],[Posición]]="","","Vegetativo")</f>
        <v/>
      </c>
      <c r="L85" s="11" t="str">
        <f>IF(Plantilla_Siembras[[#This Row],[Posición]]="","","No")</f>
        <v/>
      </c>
      <c r="M85" s="11" t="str">
        <f>IF(Plantilla_Siembras[[#This Row],[Posición]]="","","Suelo")</f>
        <v/>
      </c>
      <c r="N85" s="20"/>
    </row>
    <row r="86" spans="1:14" x14ac:dyDescent="0.35">
      <c r="A86" s="11" t="str">
        <f>IF(Siembras!B84="","",_xlfn.CONCAT(Siembras!B84,":",IF(ROUNDUP(Siembras!D84/4,0)&lt;10,_xlfn.CONCAT(0,ROUNDUP(Siembras!D84/4,0)),ROUNDUP(Siembras!D84/4,0)),":",Siembras!C84,":",Siembras!D84))</f>
        <v/>
      </c>
      <c r="B86" s="12" t="str">
        <f>+IF(Siembras!E84="","",Siembras!E84)</f>
        <v/>
      </c>
      <c r="C86" s="13" t="str">
        <f>+IF(Siembras!F84="","",Siembras!F84)</f>
        <v/>
      </c>
      <c r="D86" s="13" t="str">
        <f>+IF(Siembras!G84="","",Siembras!G84)</f>
        <v/>
      </c>
      <c r="E86" s="21" t="str">
        <f>+IF(Siembras!H84="","",Siembras!H84)</f>
        <v/>
      </c>
      <c r="F86" s="13" t="str">
        <f>+IF(Plantilla_Siembras[[#This Row],[Posición]]="","",IF(Siembras!I84="No","1","0"))</f>
        <v/>
      </c>
      <c r="G86" s="11" t="str">
        <f>IF(Plantilla_Siembras[[#This Row],[Posición]]="","","Produccion")</f>
        <v/>
      </c>
      <c r="H86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86" s="13"/>
      <c r="J86" s="13"/>
      <c r="K86" s="11" t="str">
        <f>IF(Plantilla_Siembras[[#This Row],[Posición]]="","","Vegetativo")</f>
        <v/>
      </c>
      <c r="L86" s="11" t="str">
        <f>IF(Plantilla_Siembras[[#This Row],[Posición]]="","","No")</f>
        <v/>
      </c>
      <c r="M86" s="11" t="str">
        <f>IF(Plantilla_Siembras[[#This Row],[Posición]]="","","Suelo")</f>
        <v/>
      </c>
      <c r="N86" s="20"/>
    </row>
    <row r="87" spans="1:14" x14ac:dyDescent="0.35">
      <c r="A87" s="11" t="str">
        <f>IF(Siembras!B85="","",_xlfn.CONCAT(Siembras!B85,":",IF(ROUNDUP(Siembras!D85/4,0)&lt;10,_xlfn.CONCAT(0,ROUNDUP(Siembras!D85/4,0)),ROUNDUP(Siembras!D85/4,0)),":",Siembras!C85,":",Siembras!D85))</f>
        <v/>
      </c>
      <c r="B87" s="12" t="str">
        <f>+IF(Siembras!E85="","",Siembras!E85)</f>
        <v/>
      </c>
      <c r="C87" s="13" t="str">
        <f>+IF(Siembras!F85="","",Siembras!F85)</f>
        <v/>
      </c>
      <c r="D87" s="13" t="str">
        <f>+IF(Siembras!G85="","",Siembras!G85)</f>
        <v/>
      </c>
      <c r="E87" s="21" t="str">
        <f>+IF(Siembras!H85="","",Siembras!H85)</f>
        <v/>
      </c>
      <c r="F87" s="13" t="str">
        <f>+IF(Plantilla_Siembras[[#This Row],[Posición]]="","",IF(Siembras!I85="No","1","0"))</f>
        <v/>
      </c>
      <c r="G87" s="11" t="str">
        <f>IF(Plantilla_Siembras[[#This Row],[Posición]]="","","Produccion")</f>
        <v/>
      </c>
      <c r="H87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87" s="13"/>
      <c r="J87" s="13"/>
      <c r="K87" s="11" t="str">
        <f>IF(Plantilla_Siembras[[#This Row],[Posición]]="","","Vegetativo")</f>
        <v/>
      </c>
      <c r="L87" s="11" t="str">
        <f>IF(Plantilla_Siembras[[#This Row],[Posición]]="","","No")</f>
        <v/>
      </c>
      <c r="M87" s="11" t="str">
        <f>IF(Plantilla_Siembras[[#This Row],[Posición]]="","","Suelo")</f>
        <v/>
      </c>
      <c r="N87" s="20"/>
    </row>
    <row r="88" spans="1:14" x14ac:dyDescent="0.35">
      <c r="A88" s="11" t="str">
        <f>IF(Siembras!B86="","",_xlfn.CONCAT(Siembras!B86,":",IF(ROUNDUP(Siembras!D86/4,0)&lt;10,_xlfn.CONCAT(0,ROUNDUP(Siembras!D86/4,0)),ROUNDUP(Siembras!D86/4,0)),":",Siembras!C86,":",Siembras!D86))</f>
        <v/>
      </c>
      <c r="B88" s="12" t="str">
        <f>+IF(Siembras!E86="","",Siembras!E86)</f>
        <v/>
      </c>
      <c r="C88" s="13" t="str">
        <f>+IF(Siembras!F86="","",Siembras!F86)</f>
        <v/>
      </c>
      <c r="D88" s="13" t="str">
        <f>+IF(Siembras!G86="","",Siembras!G86)</f>
        <v/>
      </c>
      <c r="E88" s="21" t="str">
        <f>+IF(Siembras!H86="","",Siembras!H86)</f>
        <v/>
      </c>
      <c r="F88" s="13" t="str">
        <f>+IF(Plantilla_Siembras[[#This Row],[Posición]]="","",IF(Siembras!I86="No","1","0"))</f>
        <v/>
      </c>
      <c r="G88" s="11" t="str">
        <f>IF(Plantilla_Siembras[[#This Row],[Posición]]="","","Produccion")</f>
        <v/>
      </c>
      <c r="H88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88" s="13"/>
      <c r="J88" s="13"/>
      <c r="K88" s="11" t="str">
        <f>IF(Plantilla_Siembras[[#This Row],[Posición]]="","","Vegetativo")</f>
        <v/>
      </c>
      <c r="L88" s="11" t="str">
        <f>IF(Plantilla_Siembras[[#This Row],[Posición]]="","","No")</f>
        <v/>
      </c>
      <c r="M88" s="11" t="str">
        <f>IF(Plantilla_Siembras[[#This Row],[Posición]]="","","Suelo")</f>
        <v/>
      </c>
      <c r="N88" s="20"/>
    </row>
    <row r="89" spans="1:14" x14ac:dyDescent="0.35">
      <c r="A89" s="11" t="str">
        <f>IF(Siembras!B87="","",_xlfn.CONCAT(Siembras!B87,":",IF(ROUNDUP(Siembras!D87/4,0)&lt;10,_xlfn.CONCAT(0,ROUNDUP(Siembras!D87/4,0)),ROUNDUP(Siembras!D87/4,0)),":",Siembras!C87,":",Siembras!D87))</f>
        <v/>
      </c>
      <c r="B89" s="12" t="str">
        <f>+IF(Siembras!E87="","",Siembras!E87)</f>
        <v/>
      </c>
      <c r="C89" s="13" t="str">
        <f>+IF(Siembras!F87="","",Siembras!F87)</f>
        <v/>
      </c>
      <c r="D89" s="13" t="str">
        <f>+IF(Siembras!G87="","",Siembras!G87)</f>
        <v/>
      </c>
      <c r="E89" s="21" t="str">
        <f>+IF(Siembras!H87="","",Siembras!H87)</f>
        <v/>
      </c>
      <c r="F89" s="13" t="str">
        <f>+IF(Plantilla_Siembras[[#This Row],[Posición]]="","",IF(Siembras!I87="No","1","0"))</f>
        <v/>
      </c>
      <c r="G89" s="11" t="str">
        <f>IF(Plantilla_Siembras[[#This Row],[Posición]]="","","Produccion")</f>
        <v/>
      </c>
      <c r="H89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89" s="13"/>
      <c r="J89" s="13"/>
      <c r="K89" s="11" t="str">
        <f>IF(Plantilla_Siembras[[#This Row],[Posición]]="","","Vegetativo")</f>
        <v/>
      </c>
      <c r="L89" s="11" t="str">
        <f>IF(Plantilla_Siembras[[#This Row],[Posición]]="","","No")</f>
        <v/>
      </c>
      <c r="M89" s="11" t="str">
        <f>IF(Plantilla_Siembras[[#This Row],[Posición]]="","","Suelo")</f>
        <v/>
      </c>
      <c r="N89" s="20"/>
    </row>
    <row r="90" spans="1:14" x14ac:dyDescent="0.35">
      <c r="A90" s="11" t="str">
        <f>IF(Siembras!B88="","",_xlfn.CONCAT(Siembras!B88,":",IF(ROUNDUP(Siembras!D88/4,0)&lt;10,_xlfn.CONCAT(0,ROUNDUP(Siembras!D88/4,0)),ROUNDUP(Siembras!D88/4,0)),":",Siembras!C88,":",Siembras!D88))</f>
        <v/>
      </c>
      <c r="B90" s="12" t="str">
        <f>+IF(Siembras!E88="","",Siembras!E88)</f>
        <v/>
      </c>
      <c r="C90" s="13" t="str">
        <f>+IF(Siembras!F88="","",Siembras!F88)</f>
        <v/>
      </c>
      <c r="D90" s="13" t="str">
        <f>+IF(Siembras!G88="","",Siembras!G88)</f>
        <v/>
      </c>
      <c r="E90" s="21" t="str">
        <f>+IF(Siembras!H88="","",Siembras!H88)</f>
        <v/>
      </c>
      <c r="F90" s="13" t="str">
        <f>+IF(Plantilla_Siembras[[#This Row],[Posición]]="","",IF(Siembras!I88="No","1","0"))</f>
        <v/>
      </c>
      <c r="G90" s="11" t="str">
        <f>IF(Plantilla_Siembras[[#This Row],[Posición]]="","","Produccion")</f>
        <v/>
      </c>
      <c r="H90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90" s="13"/>
      <c r="J90" s="13"/>
      <c r="K90" s="11" t="str">
        <f>IF(Plantilla_Siembras[[#This Row],[Posición]]="","","Vegetativo")</f>
        <v/>
      </c>
      <c r="L90" s="11" t="str">
        <f>IF(Plantilla_Siembras[[#This Row],[Posición]]="","","No")</f>
        <v/>
      </c>
      <c r="M90" s="11" t="str">
        <f>IF(Plantilla_Siembras[[#This Row],[Posición]]="","","Suelo")</f>
        <v/>
      </c>
      <c r="N90" s="20"/>
    </row>
    <row r="91" spans="1:14" x14ac:dyDescent="0.35">
      <c r="A91" s="11" t="str">
        <f>IF(Siembras!B89="","",_xlfn.CONCAT(Siembras!B89,":",IF(ROUNDUP(Siembras!D89/4,0)&lt;10,_xlfn.CONCAT(0,ROUNDUP(Siembras!D89/4,0)),ROUNDUP(Siembras!D89/4,0)),":",Siembras!C89,":",Siembras!D89))</f>
        <v/>
      </c>
      <c r="B91" s="12" t="str">
        <f>+IF(Siembras!E89="","",Siembras!E89)</f>
        <v/>
      </c>
      <c r="C91" s="13" t="str">
        <f>+IF(Siembras!F89="","",Siembras!F89)</f>
        <v/>
      </c>
      <c r="D91" s="13" t="str">
        <f>+IF(Siembras!G89="","",Siembras!G89)</f>
        <v/>
      </c>
      <c r="E91" s="21" t="str">
        <f>+IF(Siembras!H89="","",Siembras!H89)</f>
        <v/>
      </c>
      <c r="F91" s="13" t="str">
        <f>+IF(Plantilla_Siembras[[#This Row],[Posición]]="","",IF(Siembras!I89="No","1","0"))</f>
        <v/>
      </c>
      <c r="G91" s="11" t="str">
        <f>IF(Plantilla_Siembras[[#This Row],[Posición]]="","","Produccion")</f>
        <v/>
      </c>
      <c r="H91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91" s="13"/>
      <c r="J91" s="13"/>
      <c r="K91" s="11" t="str">
        <f>IF(Plantilla_Siembras[[#This Row],[Posición]]="","","Vegetativo")</f>
        <v/>
      </c>
      <c r="L91" s="11" t="str">
        <f>IF(Plantilla_Siembras[[#This Row],[Posición]]="","","No")</f>
        <v/>
      </c>
      <c r="M91" s="11" t="str">
        <f>IF(Plantilla_Siembras[[#This Row],[Posición]]="","","Suelo")</f>
        <v/>
      </c>
      <c r="N91" s="20"/>
    </row>
    <row r="92" spans="1:14" x14ac:dyDescent="0.35">
      <c r="A92" s="11" t="str">
        <f>IF(Siembras!B90="","",_xlfn.CONCAT(Siembras!B90,":",IF(ROUNDUP(Siembras!D90/4,0)&lt;10,_xlfn.CONCAT(0,ROUNDUP(Siembras!D90/4,0)),ROUNDUP(Siembras!D90/4,0)),":",Siembras!C90,":",Siembras!D90))</f>
        <v/>
      </c>
      <c r="B92" s="12" t="str">
        <f>+IF(Siembras!E90="","",Siembras!E90)</f>
        <v/>
      </c>
      <c r="C92" s="13" t="str">
        <f>+IF(Siembras!F90="","",Siembras!F90)</f>
        <v/>
      </c>
      <c r="D92" s="13" t="str">
        <f>+IF(Siembras!G90="","",Siembras!G90)</f>
        <v/>
      </c>
      <c r="E92" s="21" t="str">
        <f>+IF(Siembras!H90="","",Siembras!H90)</f>
        <v/>
      </c>
      <c r="F92" s="13" t="str">
        <f>+IF(Plantilla_Siembras[[#This Row],[Posición]]="","",IF(Siembras!I90="No","1","0"))</f>
        <v/>
      </c>
      <c r="G92" s="11" t="str">
        <f>IF(Plantilla_Siembras[[#This Row],[Posición]]="","","Produccion")</f>
        <v/>
      </c>
      <c r="H92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92" s="13"/>
      <c r="J92" s="13"/>
      <c r="K92" s="11" t="str">
        <f>IF(Plantilla_Siembras[[#This Row],[Posición]]="","","Vegetativo")</f>
        <v/>
      </c>
      <c r="L92" s="11" t="str">
        <f>IF(Plantilla_Siembras[[#This Row],[Posición]]="","","No")</f>
        <v/>
      </c>
      <c r="M92" s="11" t="str">
        <f>IF(Plantilla_Siembras[[#This Row],[Posición]]="","","Suelo")</f>
        <v/>
      </c>
      <c r="N92" s="20"/>
    </row>
    <row r="93" spans="1:14" x14ac:dyDescent="0.35">
      <c r="A93" s="11" t="str">
        <f>IF(Siembras!B91="","",_xlfn.CONCAT(Siembras!B91,":",IF(ROUNDUP(Siembras!D91/4,0)&lt;10,_xlfn.CONCAT(0,ROUNDUP(Siembras!D91/4,0)),ROUNDUP(Siembras!D91/4,0)),":",Siembras!C91,":",Siembras!D91))</f>
        <v/>
      </c>
      <c r="B93" s="12" t="str">
        <f>+IF(Siembras!E91="","",Siembras!E91)</f>
        <v/>
      </c>
      <c r="C93" s="13" t="str">
        <f>+IF(Siembras!F91="","",Siembras!F91)</f>
        <v/>
      </c>
      <c r="D93" s="13" t="str">
        <f>+IF(Siembras!G91="","",Siembras!G91)</f>
        <v/>
      </c>
      <c r="E93" s="21" t="str">
        <f>+IF(Siembras!H91="","",Siembras!H91)</f>
        <v/>
      </c>
      <c r="F93" s="13" t="str">
        <f>+IF(Plantilla_Siembras[[#This Row],[Posición]]="","",IF(Siembras!I91="No","1","0"))</f>
        <v/>
      </c>
      <c r="G93" s="11" t="str">
        <f>IF(Plantilla_Siembras[[#This Row],[Posición]]="","","Produccion")</f>
        <v/>
      </c>
      <c r="H93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93" s="13"/>
      <c r="J93" s="13"/>
      <c r="K93" s="11" t="str">
        <f>IF(Plantilla_Siembras[[#This Row],[Posición]]="","","Vegetativo")</f>
        <v/>
      </c>
      <c r="L93" s="11" t="str">
        <f>IF(Plantilla_Siembras[[#This Row],[Posición]]="","","No")</f>
        <v/>
      </c>
      <c r="M93" s="11" t="str">
        <f>IF(Plantilla_Siembras[[#This Row],[Posición]]="","","Suelo")</f>
        <v/>
      </c>
      <c r="N93" s="20"/>
    </row>
    <row r="94" spans="1:14" x14ac:dyDescent="0.35">
      <c r="A94" s="11" t="str">
        <f>IF(Siembras!B92="","",_xlfn.CONCAT(Siembras!B92,":",IF(ROUNDUP(Siembras!D92/4,0)&lt;10,_xlfn.CONCAT(0,ROUNDUP(Siembras!D92/4,0)),ROUNDUP(Siembras!D92/4,0)),":",Siembras!C92,":",Siembras!D92))</f>
        <v/>
      </c>
      <c r="B94" s="12" t="str">
        <f>+IF(Siembras!E92="","",Siembras!E92)</f>
        <v/>
      </c>
      <c r="C94" s="13" t="str">
        <f>+IF(Siembras!F92="","",Siembras!F92)</f>
        <v/>
      </c>
      <c r="D94" s="13" t="str">
        <f>+IF(Siembras!G92="","",Siembras!G92)</f>
        <v/>
      </c>
      <c r="E94" s="21" t="str">
        <f>+IF(Siembras!H92="","",Siembras!H92)</f>
        <v/>
      </c>
      <c r="F94" s="13" t="str">
        <f>+IF(Plantilla_Siembras[[#This Row],[Posición]]="","",IF(Siembras!I92="No","1","0"))</f>
        <v/>
      </c>
      <c r="G94" s="11" t="str">
        <f>IF(Plantilla_Siembras[[#This Row],[Posición]]="","","Produccion")</f>
        <v/>
      </c>
      <c r="H94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94" s="13"/>
      <c r="J94" s="13"/>
      <c r="K94" s="11" t="str">
        <f>IF(Plantilla_Siembras[[#This Row],[Posición]]="","","Vegetativo")</f>
        <v/>
      </c>
      <c r="L94" s="11" t="str">
        <f>IF(Plantilla_Siembras[[#This Row],[Posición]]="","","No")</f>
        <v/>
      </c>
      <c r="M94" s="11" t="str">
        <f>IF(Plantilla_Siembras[[#This Row],[Posición]]="","","Suelo")</f>
        <v/>
      </c>
      <c r="N94" s="20"/>
    </row>
    <row r="95" spans="1:14" x14ac:dyDescent="0.35">
      <c r="A95" s="11" t="str">
        <f>IF(Siembras!B93="","",_xlfn.CONCAT(Siembras!B93,":",IF(ROUNDUP(Siembras!D93/4,0)&lt;10,_xlfn.CONCAT(0,ROUNDUP(Siembras!D93/4,0)),ROUNDUP(Siembras!D93/4,0)),":",Siembras!C93,":",Siembras!D93))</f>
        <v/>
      </c>
      <c r="B95" s="12" t="str">
        <f>+IF(Siembras!E93="","",Siembras!E93)</f>
        <v/>
      </c>
      <c r="C95" s="13" t="str">
        <f>+IF(Siembras!F93="","",Siembras!F93)</f>
        <v/>
      </c>
      <c r="D95" s="13" t="str">
        <f>+IF(Siembras!G93="","",Siembras!G93)</f>
        <v/>
      </c>
      <c r="E95" s="21" t="str">
        <f>+IF(Siembras!H93="","",Siembras!H93)</f>
        <v/>
      </c>
      <c r="F95" s="13" t="str">
        <f>+IF(Plantilla_Siembras[[#This Row],[Posición]]="","",IF(Siembras!I93="No","1","0"))</f>
        <v/>
      </c>
      <c r="G95" s="11" t="str">
        <f>IF(Plantilla_Siembras[[#This Row],[Posición]]="","","Produccion")</f>
        <v/>
      </c>
      <c r="H95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95" s="13"/>
      <c r="J95" s="13"/>
      <c r="K95" s="11" t="str">
        <f>IF(Plantilla_Siembras[[#This Row],[Posición]]="","","Vegetativo")</f>
        <v/>
      </c>
      <c r="L95" s="11" t="str">
        <f>IF(Plantilla_Siembras[[#This Row],[Posición]]="","","No")</f>
        <v/>
      </c>
      <c r="M95" s="11" t="str">
        <f>IF(Plantilla_Siembras[[#This Row],[Posición]]="","","Suelo")</f>
        <v/>
      </c>
      <c r="N95" s="20"/>
    </row>
    <row r="96" spans="1:14" x14ac:dyDescent="0.35">
      <c r="A96" s="11" t="str">
        <f>IF(Siembras!B94="","",_xlfn.CONCAT(Siembras!B94,":",IF(ROUNDUP(Siembras!D94/4,0)&lt;10,_xlfn.CONCAT(0,ROUNDUP(Siembras!D94/4,0)),ROUNDUP(Siembras!D94/4,0)),":",Siembras!C94,":",Siembras!D94))</f>
        <v/>
      </c>
      <c r="B96" s="12" t="str">
        <f>+IF(Siembras!E94="","",Siembras!E94)</f>
        <v/>
      </c>
      <c r="C96" s="13" t="str">
        <f>+IF(Siembras!F94="","",Siembras!F94)</f>
        <v/>
      </c>
      <c r="D96" s="13" t="str">
        <f>+IF(Siembras!G94="","",Siembras!G94)</f>
        <v/>
      </c>
      <c r="E96" s="21" t="str">
        <f>+IF(Siembras!H94="","",Siembras!H94)</f>
        <v/>
      </c>
      <c r="F96" s="13" t="str">
        <f>+IF(Plantilla_Siembras[[#This Row],[Posición]]="","",IF(Siembras!I94="No","1","0"))</f>
        <v/>
      </c>
      <c r="G96" s="11" t="str">
        <f>IF(Plantilla_Siembras[[#This Row],[Posición]]="","","Produccion")</f>
        <v/>
      </c>
      <c r="H96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96" s="13"/>
      <c r="J96" s="13"/>
      <c r="K96" s="11" t="str">
        <f>IF(Plantilla_Siembras[[#This Row],[Posición]]="","","Vegetativo")</f>
        <v/>
      </c>
      <c r="L96" s="11" t="str">
        <f>IF(Plantilla_Siembras[[#This Row],[Posición]]="","","No")</f>
        <v/>
      </c>
      <c r="M96" s="11" t="str">
        <f>IF(Plantilla_Siembras[[#This Row],[Posición]]="","","Suelo")</f>
        <v/>
      </c>
      <c r="N96" s="20"/>
    </row>
    <row r="97" spans="1:14" x14ac:dyDescent="0.35">
      <c r="A97" s="11" t="str">
        <f>IF(Siembras!B95="","",_xlfn.CONCAT(Siembras!B95,":",IF(ROUNDUP(Siembras!D95/4,0)&lt;10,_xlfn.CONCAT(0,ROUNDUP(Siembras!D95/4,0)),ROUNDUP(Siembras!D95/4,0)),":",Siembras!C95,":",Siembras!D95))</f>
        <v/>
      </c>
      <c r="B97" s="12" t="str">
        <f>+IF(Siembras!E95="","",Siembras!E95)</f>
        <v/>
      </c>
      <c r="C97" s="13" t="str">
        <f>+IF(Siembras!F95="","",Siembras!F95)</f>
        <v/>
      </c>
      <c r="D97" s="13" t="str">
        <f>+IF(Siembras!G95="","",Siembras!G95)</f>
        <v/>
      </c>
      <c r="E97" s="21" t="str">
        <f>+IF(Siembras!H95="","",Siembras!H95)</f>
        <v/>
      </c>
      <c r="F97" s="13" t="str">
        <f>+IF(Plantilla_Siembras[[#This Row],[Posición]]="","",IF(Siembras!I95="No","1","0"))</f>
        <v/>
      </c>
      <c r="G97" s="11" t="str">
        <f>IF(Plantilla_Siembras[[#This Row],[Posición]]="","","Produccion")</f>
        <v/>
      </c>
      <c r="H97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97" s="13"/>
      <c r="J97" s="13"/>
      <c r="K97" s="11" t="str">
        <f>IF(Plantilla_Siembras[[#This Row],[Posición]]="","","Vegetativo")</f>
        <v/>
      </c>
      <c r="L97" s="11" t="str">
        <f>IF(Plantilla_Siembras[[#This Row],[Posición]]="","","No")</f>
        <v/>
      </c>
      <c r="M97" s="11" t="str">
        <f>IF(Plantilla_Siembras[[#This Row],[Posición]]="","","Suelo")</f>
        <v/>
      </c>
      <c r="N97" s="20"/>
    </row>
    <row r="98" spans="1:14" x14ac:dyDescent="0.35">
      <c r="A98" s="11" t="str">
        <f>IF(Siembras!B96="","",_xlfn.CONCAT(Siembras!B96,":",IF(ROUNDUP(Siembras!D96/4,0)&lt;10,_xlfn.CONCAT(0,ROUNDUP(Siembras!D96/4,0)),ROUNDUP(Siembras!D96/4,0)),":",Siembras!C96,":",Siembras!D96))</f>
        <v/>
      </c>
      <c r="B98" s="12" t="str">
        <f>+IF(Siembras!E96="","",Siembras!E96)</f>
        <v/>
      </c>
      <c r="C98" s="13" t="str">
        <f>+IF(Siembras!F96="","",Siembras!F96)</f>
        <v/>
      </c>
      <c r="D98" s="13" t="str">
        <f>+IF(Siembras!G96="","",Siembras!G96)</f>
        <v/>
      </c>
      <c r="E98" s="21" t="str">
        <f>+IF(Siembras!H96="","",Siembras!H96)</f>
        <v/>
      </c>
      <c r="F98" s="13" t="str">
        <f>+IF(Plantilla_Siembras[[#This Row],[Posición]]="","",IF(Siembras!I96="No","1","0"))</f>
        <v/>
      </c>
      <c r="G98" s="11" t="str">
        <f>IF(Plantilla_Siembras[[#This Row],[Posición]]="","","Produccion")</f>
        <v/>
      </c>
      <c r="H98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98" s="13"/>
      <c r="J98" s="13"/>
      <c r="K98" s="11" t="str">
        <f>IF(Plantilla_Siembras[[#This Row],[Posición]]="","","Vegetativo")</f>
        <v/>
      </c>
      <c r="L98" s="11" t="str">
        <f>IF(Plantilla_Siembras[[#This Row],[Posición]]="","","No")</f>
        <v/>
      </c>
      <c r="M98" s="11" t="str">
        <f>IF(Plantilla_Siembras[[#This Row],[Posición]]="","","Suelo")</f>
        <v/>
      </c>
      <c r="N98" s="20"/>
    </row>
    <row r="99" spans="1:14" x14ac:dyDescent="0.35">
      <c r="A99" s="11" t="str">
        <f>IF(Siembras!B97="","",_xlfn.CONCAT(Siembras!B97,":",IF(ROUNDUP(Siembras!D97/4,0)&lt;10,_xlfn.CONCAT(0,ROUNDUP(Siembras!D97/4,0)),ROUNDUP(Siembras!D97/4,0)),":",Siembras!C97,":",Siembras!D97))</f>
        <v/>
      </c>
      <c r="B99" s="12" t="str">
        <f>+IF(Siembras!E97="","",Siembras!E97)</f>
        <v/>
      </c>
      <c r="C99" s="13" t="str">
        <f>+IF(Siembras!F97="","",Siembras!F97)</f>
        <v/>
      </c>
      <c r="D99" s="13" t="str">
        <f>+IF(Siembras!G97="","",Siembras!G97)</f>
        <v/>
      </c>
      <c r="E99" s="21" t="str">
        <f>+IF(Siembras!H97="","",Siembras!H97)</f>
        <v/>
      </c>
      <c r="F99" s="13" t="str">
        <f>+IF(Plantilla_Siembras[[#This Row],[Posición]]="","",IF(Siembras!I97="No","1","0"))</f>
        <v/>
      </c>
      <c r="G99" s="11" t="str">
        <f>IF(Plantilla_Siembras[[#This Row],[Posición]]="","","Produccion")</f>
        <v/>
      </c>
      <c r="H99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99" s="13"/>
      <c r="J99" s="13"/>
      <c r="K99" s="11" t="str">
        <f>IF(Plantilla_Siembras[[#This Row],[Posición]]="","","Vegetativo")</f>
        <v/>
      </c>
      <c r="L99" s="11" t="str">
        <f>IF(Plantilla_Siembras[[#This Row],[Posición]]="","","No")</f>
        <v/>
      </c>
      <c r="M99" s="11" t="str">
        <f>IF(Plantilla_Siembras[[#This Row],[Posición]]="","","Suelo")</f>
        <v/>
      </c>
      <c r="N99" s="20"/>
    </row>
    <row r="100" spans="1:14" x14ac:dyDescent="0.35">
      <c r="A100" s="11" t="str">
        <f>IF(Siembras!B98="","",_xlfn.CONCAT(Siembras!B98,":",IF(ROUNDUP(Siembras!D98/4,0)&lt;10,_xlfn.CONCAT(0,ROUNDUP(Siembras!D98/4,0)),ROUNDUP(Siembras!D98/4,0)),":",Siembras!C98,":",Siembras!D98))</f>
        <v/>
      </c>
      <c r="B100" s="12" t="str">
        <f>+IF(Siembras!E98="","",Siembras!E98)</f>
        <v/>
      </c>
      <c r="C100" s="13" t="str">
        <f>+IF(Siembras!F98="","",Siembras!F98)</f>
        <v/>
      </c>
      <c r="D100" s="13" t="str">
        <f>+IF(Siembras!G98="","",Siembras!G98)</f>
        <v/>
      </c>
      <c r="E100" s="21" t="str">
        <f>+IF(Siembras!H98="","",Siembras!H98)</f>
        <v/>
      </c>
      <c r="F100" s="13" t="str">
        <f>+IF(Plantilla_Siembras[[#This Row],[Posición]]="","",IF(Siembras!I98="No","1","0"))</f>
        <v/>
      </c>
      <c r="G100" s="11" t="str">
        <f>IF(Plantilla_Siembras[[#This Row],[Posición]]="","","Produccion")</f>
        <v/>
      </c>
      <c r="H100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100" s="13"/>
      <c r="J100" s="13"/>
      <c r="K100" s="11" t="str">
        <f>IF(Plantilla_Siembras[[#This Row],[Posición]]="","","Vegetativo")</f>
        <v/>
      </c>
      <c r="L100" s="11" t="str">
        <f>IF(Plantilla_Siembras[[#This Row],[Posición]]="","","No")</f>
        <v/>
      </c>
      <c r="M100" s="11" t="str">
        <f>IF(Plantilla_Siembras[[#This Row],[Posición]]="","","Suelo")</f>
        <v/>
      </c>
      <c r="N100" s="20"/>
    </row>
    <row r="101" spans="1:14" x14ac:dyDescent="0.35">
      <c r="A101" s="11" t="str">
        <f>IF(Siembras!B99="","",_xlfn.CONCAT(Siembras!B99,":",IF(ROUNDUP(Siembras!D99/4,0)&lt;10,_xlfn.CONCAT(0,ROUNDUP(Siembras!D99/4,0)),ROUNDUP(Siembras!D99/4,0)),":",Siembras!C99,":",Siembras!D99))</f>
        <v/>
      </c>
      <c r="B101" s="12" t="str">
        <f>+IF(Siembras!E99="","",Siembras!E99)</f>
        <v/>
      </c>
      <c r="C101" s="13" t="str">
        <f>+IF(Siembras!F99="","",Siembras!F99)</f>
        <v/>
      </c>
      <c r="D101" s="13" t="str">
        <f>+IF(Siembras!G99="","",Siembras!G99)</f>
        <v/>
      </c>
      <c r="E101" s="21" t="str">
        <f>+IF(Siembras!H99="","",Siembras!H99)</f>
        <v/>
      </c>
      <c r="F101" s="13" t="str">
        <f>+IF(Plantilla_Siembras[[#This Row],[Posición]]="","",IF(Siembras!I99="No","1","0"))</f>
        <v/>
      </c>
      <c r="G101" s="11" t="str">
        <f>IF(Plantilla_Siembras[[#This Row],[Posición]]="","","Produccion")</f>
        <v/>
      </c>
      <c r="H101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101" s="13"/>
      <c r="J101" s="13"/>
      <c r="K101" s="11" t="str">
        <f>IF(Plantilla_Siembras[[#This Row],[Posición]]="","","Vegetativo")</f>
        <v/>
      </c>
      <c r="L101" s="11" t="str">
        <f>IF(Plantilla_Siembras[[#This Row],[Posición]]="","","No")</f>
        <v/>
      </c>
      <c r="M101" s="11" t="str">
        <f>IF(Plantilla_Siembras[[#This Row],[Posición]]="","","Suelo")</f>
        <v/>
      </c>
      <c r="N101" s="20"/>
    </row>
    <row r="102" spans="1:14" x14ac:dyDescent="0.35">
      <c r="A102" s="11" t="str">
        <f>IF(Siembras!B100="","",_xlfn.CONCAT(Siembras!B100,":",IF(ROUNDUP(Siembras!D100/4,0)&lt;10,_xlfn.CONCAT(0,ROUNDUP(Siembras!D100/4,0)),ROUNDUP(Siembras!D100/4,0)),":",Siembras!C100,":",Siembras!D100))</f>
        <v/>
      </c>
      <c r="B102" s="12" t="str">
        <f>+IF(Siembras!E100="","",Siembras!E100)</f>
        <v/>
      </c>
      <c r="C102" s="13" t="str">
        <f>+IF(Siembras!F100="","",Siembras!F100)</f>
        <v/>
      </c>
      <c r="D102" s="13" t="str">
        <f>+IF(Siembras!G100="","",Siembras!G100)</f>
        <v/>
      </c>
      <c r="E102" s="21" t="str">
        <f>+IF(Siembras!H100="","",Siembras!H100)</f>
        <v/>
      </c>
      <c r="F102" s="13" t="str">
        <f>+IF(Plantilla_Siembras[[#This Row],[Posición]]="","",IF(Siembras!I100="No","1","0"))</f>
        <v/>
      </c>
      <c r="G102" s="11" t="str">
        <f>IF(Plantilla_Siembras[[#This Row],[Posición]]="","","Produccion")</f>
        <v/>
      </c>
      <c r="H102" s="11" t="str">
        <f>IF(Plantilla_Siembras[[#This Row],[Fecha Siembra]]="","",_xlfn.CONCAT(PROPER(TEXT(Plantilla_Siembras[[#This Row],[Fecha Siembra]]+(13*7),"mmmm")),"|",YEAR(Plantilla_Siembras[[#This Row],[Fecha Siembra]]+(13*7))))</f>
        <v/>
      </c>
      <c r="I102" s="13"/>
      <c r="J102" s="13"/>
      <c r="K102" s="11" t="str">
        <f>IF(Plantilla_Siembras[[#This Row],[Posición]]="","","Vegetativo")</f>
        <v/>
      </c>
      <c r="L102" s="11" t="str">
        <f>IF(Plantilla_Siembras[[#This Row],[Posición]]="","","No")</f>
        <v/>
      </c>
      <c r="M102" s="11" t="str">
        <f>IF(Plantilla_Siembras[[#This Row],[Posición]]="","","Suelo")</f>
        <v/>
      </c>
      <c r="N102" s="20"/>
    </row>
    <row r="103" spans="1:14" x14ac:dyDescent="0.35">
      <c r="A103" s="15" t="str">
        <f>IF(Siembras!B101="","",_xlfn.CONCAT(Siembras!B101,":",IF(ROUNDUP(Siembras!D101/4,0)&lt;10,_xlfn.CONCAT(0,ROUNDUP(Siembras!D101/4,0)),ROUNDUP(Siembras!D101/4,0)),":",Siembras!C101,":",Siembras!D101))</f>
        <v/>
      </c>
      <c r="B103" s="16" t="str">
        <f>+IF(Siembras!E101="","",Siembras!E101)</f>
        <v/>
      </c>
      <c r="C103" s="17" t="str">
        <f>+IF(Siembras!F101="","",Siembras!F101)</f>
        <v/>
      </c>
      <c r="D103" s="17" t="str">
        <f>+IF(Siembras!G101="","",Siembras!G101)</f>
        <v/>
      </c>
      <c r="E103" s="30" t="str">
        <f>+IF(Siembras!H101="","",Siembras!H101)</f>
        <v/>
      </c>
      <c r="F103" s="17" t="str">
        <f>+IF(Plantilla_Siembras[[#This Row],[Posición]]="","",IF(Siembras!I101="No","1","0"))</f>
        <v/>
      </c>
      <c r="G103" s="15" t="str">
        <f>IF(Plantilla_Siembras[[#This Row],[Posición]]="","","Produccion")</f>
        <v/>
      </c>
      <c r="H103" s="15" t="str">
        <f>IF(Plantilla_Siembras[[#This Row],[Fecha Siembra]]="","",_xlfn.CONCAT(PROPER(TEXT(Plantilla_Siembras[[#This Row],[Fecha Siembra]]+(13*7),"mmmm")),"|",YEAR(Plantilla_Siembras[[#This Row],[Fecha Siembra]]+(13*7))))</f>
        <v/>
      </c>
      <c r="I103" s="17"/>
      <c r="J103" s="17"/>
      <c r="K103" s="15" t="str">
        <f>IF(Plantilla_Siembras[[#This Row],[Posición]]="","","Vegetativo")</f>
        <v/>
      </c>
      <c r="L103" s="15" t="str">
        <f>IF(Plantilla_Siembras[[#This Row],[Posición]]="","","No")</f>
        <v/>
      </c>
      <c r="M103" s="15" t="str">
        <f>IF(Plantilla_Siembras[[#This Row],[Posición]]="","","Suelo")</f>
        <v/>
      </c>
      <c r="N103" s="22"/>
    </row>
  </sheetData>
  <sheetProtection insertRows="0"/>
  <mergeCells count="1">
    <mergeCell ref="A1:N2"/>
  </mergeCells>
  <conditionalFormatting sqref="A4 I4:N4 B5:N5 C6:E6 C4:G4">
    <cfRule type="expression" dxfId="32" priority="1">
      <formula>MOD(ROW(),2)=1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AE3AB-2541-4B5D-98B1-774623A744EE}">
  <sheetPr published="0" codeName="Hoja1">
    <tabColor rgb="FFFFFF00"/>
  </sheetPr>
  <dimension ref="A1:K1153"/>
  <sheetViews>
    <sheetView showGridLines="0" zoomScaleNormal="100" workbookViewId="0">
      <pane ySplit="1" topLeftCell="A661" activePane="bottomLeft" state="frozen"/>
      <selection pane="bottomLeft" activeCell="I681" sqref="I681"/>
    </sheetView>
  </sheetViews>
  <sheetFormatPr baseColWidth="10" defaultColWidth="0" defaultRowHeight="10.5" x14ac:dyDescent="0.25"/>
  <cols>
    <col min="1" max="1" width="9" bestFit="1" customWidth="1"/>
    <col min="2" max="2" width="7.375" bestFit="1" customWidth="1"/>
    <col min="3" max="3" width="9" bestFit="1" customWidth="1"/>
    <col min="4" max="4" width="7.125" bestFit="1" customWidth="1"/>
    <col min="5" max="5" width="7.375" bestFit="1" customWidth="1"/>
    <col min="6" max="6" width="7.875" bestFit="1" customWidth="1"/>
    <col min="7" max="7" width="8.125" bestFit="1" customWidth="1"/>
    <col min="8" max="8" width="10.125" style="9" bestFit="1" customWidth="1"/>
    <col min="9" max="9" width="8.375" style="9" bestFit="1" customWidth="1"/>
    <col min="10" max="10" width="14.625" bestFit="1" customWidth="1"/>
    <col min="11" max="11" width="15.375" style="42" customWidth="1"/>
    <col min="12" max="16384" width="12" hidden="1"/>
  </cols>
  <sheetData>
    <row r="1" spans="1:10" x14ac:dyDescent="0.25">
      <c r="A1" t="s">
        <v>744</v>
      </c>
      <c r="B1" t="s">
        <v>743</v>
      </c>
      <c r="C1" t="s">
        <v>7</v>
      </c>
      <c r="D1" t="s">
        <v>8</v>
      </c>
      <c r="E1" t="s">
        <v>723</v>
      </c>
      <c r="F1" t="s">
        <v>9</v>
      </c>
      <c r="G1" t="s">
        <v>742</v>
      </c>
      <c r="H1" s="41" t="s">
        <v>737</v>
      </c>
      <c r="I1" s="41" t="s">
        <v>741</v>
      </c>
      <c r="J1" s="10" t="s">
        <v>740</v>
      </c>
    </row>
    <row r="2" spans="1:10" hidden="1" x14ac:dyDescent="0.25">
      <c r="A2" t="str">
        <f>+_xlfn.CONCAT(Info_Camas[[#This Row],[Bloque]],Info_Camas[[#This Row],[Lado]],Info_Camas[[#This Row],[Cama]])</f>
        <v>01A001</v>
      </c>
      <c r="B2" t="s">
        <v>739</v>
      </c>
      <c r="C2" t="s">
        <v>14</v>
      </c>
      <c r="D2" t="s">
        <v>15</v>
      </c>
      <c r="E2" t="s">
        <v>14</v>
      </c>
      <c r="F2" t="s">
        <v>16</v>
      </c>
      <c r="G2">
        <v>58.625</v>
      </c>
      <c r="H2" s="9">
        <v>10</v>
      </c>
      <c r="J2" s="6">
        <f>IFERROR(Info_Camas[[#This Row],[Lineas]]/Info_Camas[[#This Row],[Cortinas]],"Pendiente")</f>
        <v>0</v>
      </c>
    </row>
    <row r="3" spans="1:10" hidden="1" x14ac:dyDescent="0.25">
      <c r="A3" t="str">
        <f>+_xlfn.CONCAT(Info_Camas[[#This Row],[Bloque]],Info_Camas[[#This Row],[Lado]],Info_Camas[[#This Row],[Cama]])</f>
        <v>01B001</v>
      </c>
      <c r="B3" t="s">
        <v>739</v>
      </c>
      <c r="C3" t="s">
        <v>14</v>
      </c>
      <c r="D3" t="s">
        <v>21</v>
      </c>
      <c r="E3" t="s">
        <v>14</v>
      </c>
      <c r="F3" t="s">
        <v>16</v>
      </c>
      <c r="G3">
        <v>30.049900000000001</v>
      </c>
      <c r="H3" s="9">
        <v>10</v>
      </c>
      <c r="J3" s="6">
        <f>IFERROR(Info_Camas[[#This Row],[Lineas]]/Info_Camas[[#This Row],[Cortinas]],"Pendiente")</f>
        <v>0</v>
      </c>
    </row>
    <row r="4" spans="1:10" hidden="1" x14ac:dyDescent="0.25">
      <c r="A4" t="str">
        <f>+_xlfn.CONCAT(Info_Camas[[#This Row],[Bloque]],Info_Camas[[#This Row],[Lado]],Info_Camas[[#This Row],[Cama]])</f>
        <v>01A002</v>
      </c>
      <c r="B4" t="s">
        <v>739</v>
      </c>
      <c r="C4" t="s">
        <v>14</v>
      </c>
      <c r="D4" t="s">
        <v>15</v>
      </c>
      <c r="E4" t="s">
        <v>14</v>
      </c>
      <c r="F4" t="s">
        <v>22</v>
      </c>
      <c r="G4">
        <v>58.625</v>
      </c>
      <c r="H4" s="9">
        <v>10</v>
      </c>
      <c r="J4" s="6">
        <f>IFERROR(Info_Camas[[#This Row],[Lineas]]/Info_Camas[[#This Row],[Cortinas]],"Pendiente")</f>
        <v>0</v>
      </c>
    </row>
    <row r="5" spans="1:10" hidden="1" x14ac:dyDescent="0.25">
      <c r="A5" t="str">
        <f>+_xlfn.CONCAT(Info_Camas[[#This Row],[Bloque]],Info_Camas[[#This Row],[Lado]],Info_Camas[[#This Row],[Cama]])</f>
        <v>01B002</v>
      </c>
      <c r="B5" t="s">
        <v>739</v>
      </c>
      <c r="C5" t="s">
        <v>14</v>
      </c>
      <c r="D5" t="s">
        <v>21</v>
      </c>
      <c r="E5" t="s">
        <v>14</v>
      </c>
      <c r="F5" t="s">
        <v>22</v>
      </c>
      <c r="G5">
        <v>58.625</v>
      </c>
      <c r="H5" s="9">
        <v>10</v>
      </c>
      <c r="J5" s="6">
        <f>IFERROR(Info_Camas[[#This Row],[Lineas]]/Info_Camas[[#This Row],[Cortinas]],"Pendiente")</f>
        <v>0</v>
      </c>
    </row>
    <row r="6" spans="1:10" hidden="1" x14ac:dyDescent="0.25">
      <c r="A6" t="str">
        <f>+_xlfn.CONCAT(Info_Camas[[#This Row],[Bloque]],Info_Camas[[#This Row],[Lado]],Info_Camas[[#This Row],[Cama]])</f>
        <v>01A003</v>
      </c>
      <c r="B6" t="s">
        <v>739</v>
      </c>
      <c r="C6" t="s">
        <v>14</v>
      </c>
      <c r="D6" t="s">
        <v>15</v>
      </c>
      <c r="E6" t="s">
        <v>14</v>
      </c>
      <c r="F6" t="s">
        <v>27</v>
      </c>
      <c r="G6">
        <v>58.625</v>
      </c>
      <c r="H6" s="9">
        <v>10</v>
      </c>
      <c r="J6" s="6">
        <f>IFERROR(Info_Camas[[#This Row],[Lineas]]/Info_Camas[[#This Row],[Cortinas]],"Pendiente")</f>
        <v>0</v>
      </c>
    </row>
    <row r="7" spans="1:10" hidden="1" x14ac:dyDescent="0.25">
      <c r="A7" t="str">
        <f>+_xlfn.CONCAT(Info_Camas[[#This Row],[Bloque]],Info_Camas[[#This Row],[Lado]],Info_Camas[[#This Row],[Cama]])</f>
        <v>01B003</v>
      </c>
      <c r="B7" t="s">
        <v>739</v>
      </c>
      <c r="C7" t="s">
        <v>14</v>
      </c>
      <c r="D7" t="s">
        <v>21</v>
      </c>
      <c r="E7" t="s">
        <v>14</v>
      </c>
      <c r="F7" t="s">
        <v>27</v>
      </c>
      <c r="G7">
        <v>58.625</v>
      </c>
      <c r="H7" s="9">
        <v>10</v>
      </c>
      <c r="J7" s="6">
        <f>IFERROR(Info_Camas[[#This Row],[Lineas]]/Info_Camas[[#This Row],[Cortinas]],"Pendiente")</f>
        <v>0</v>
      </c>
    </row>
    <row r="8" spans="1:10" hidden="1" x14ac:dyDescent="0.25">
      <c r="A8" t="str">
        <f>+_xlfn.CONCAT(Info_Camas[[#This Row],[Bloque]],Info_Camas[[#This Row],[Lado]],Info_Camas[[#This Row],[Cama]])</f>
        <v>01A004</v>
      </c>
      <c r="B8" t="s">
        <v>739</v>
      </c>
      <c r="C8" t="s">
        <v>14</v>
      </c>
      <c r="D8" t="s">
        <v>15</v>
      </c>
      <c r="E8" t="s">
        <v>14</v>
      </c>
      <c r="F8" t="s">
        <v>31</v>
      </c>
      <c r="G8">
        <v>58.625</v>
      </c>
      <c r="H8" s="9">
        <v>10</v>
      </c>
      <c r="J8" s="6">
        <f>IFERROR(Info_Camas[[#This Row],[Lineas]]/Info_Camas[[#This Row],[Cortinas]],"Pendiente")</f>
        <v>0</v>
      </c>
    </row>
    <row r="9" spans="1:10" hidden="1" x14ac:dyDescent="0.25">
      <c r="A9" t="str">
        <f>+_xlfn.CONCAT(Info_Camas[[#This Row],[Bloque]],Info_Camas[[#This Row],[Lado]],Info_Camas[[#This Row],[Cama]])</f>
        <v>01B004</v>
      </c>
      <c r="B9" t="s">
        <v>739</v>
      </c>
      <c r="C9" t="s">
        <v>14</v>
      </c>
      <c r="D9" t="s">
        <v>21</v>
      </c>
      <c r="E9" t="s">
        <v>14</v>
      </c>
      <c r="F9" t="s">
        <v>31</v>
      </c>
      <c r="G9">
        <v>58.625</v>
      </c>
      <c r="H9" s="9">
        <v>10</v>
      </c>
      <c r="J9" s="6">
        <f>IFERROR(Info_Camas[[#This Row],[Lineas]]/Info_Camas[[#This Row],[Cortinas]],"Pendiente")</f>
        <v>0</v>
      </c>
    </row>
    <row r="10" spans="1:10" hidden="1" x14ac:dyDescent="0.25">
      <c r="A10" t="str">
        <f>+_xlfn.CONCAT(Info_Camas[[#This Row],[Bloque]],Info_Camas[[#This Row],[Lado]],Info_Camas[[#This Row],[Cama]])</f>
        <v>01A005</v>
      </c>
      <c r="B10" t="s">
        <v>739</v>
      </c>
      <c r="C10" t="s">
        <v>14</v>
      </c>
      <c r="D10" t="s">
        <v>15</v>
      </c>
      <c r="E10" t="s">
        <v>20</v>
      </c>
      <c r="F10" t="s">
        <v>35</v>
      </c>
      <c r="G10">
        <v>58.625</v>
      </c>
      <c r="H10" s="9">
        <v>10</v>
      </c>
      <c r="J10" s="6">
        <f>IFERROR(Info_Camas[[#This Row],[Lineas]]/Info_Camas[[#This Row],[Cortinas]],"Pendiente")</f>
        <v>0</v>
      </c>
    </row>
    <row r="11" spans="1:10" hidden="1" x14ac:dyDescent="0.25">
      <c r="A11" t="str">
        <f>+_xlfn.CONCAT(Info_Camas[[#This Row],[Bloque]],Info_Camas[[#This Row],[Lado]],Info_Camas[[#This Row],[Cama]])</f>
        <v>01B005</v>
      </c>
      <c r="B11" t="s">
        <v>739</v>
      </c>
      <c r="C11" t="s">
        <v>14</v>
      </c>
      <c r="D11" t="s">
        <v>21</v>
      </c>
      <c r="E11" t="s">
        <v>20</v>
      </c>
      <c r="F11" t="s">
        <v>35</v>
      </c>
      <c r="G11">
        <v>58.625</v>
      </c>
      <c r="H11" s="9">
        <v>10</v>
      </c>
      <c r="J11" s="6">
        <f>IFERROR(Info_Camas[[#This Row],[Lineas]]/Info_Camas[[#This Row],[Cortinas]],"Pendiente")</f>
        <v>0</v>
      </c>
    </row>
    <row r="12" spans="1:10" hidden="1" x14ac:dyDescent="0.25">
      <c r="A12" t="str">
        <f>+_xlfn.CONCAT(Info_Camas[[#This Row],[Bloque]],Info_Camas[[#This Row],[Lado]],Info_Camas[[#This Row],[Cama]])</f>
        <v>01A006</v>
      </c>
      <c r="B12" t="s">
        <v>739</v>
      </c>
      <c r="C12" t="s">
        <v>14</v>
      </c>
      <c r="D12" t="s">
        <v>15</v>
      </c>
      <c r="E12" t="s">
        <v>20</v>
      </c>
      <c r="F12" t="s">
        <v>40</v>
      </c>
      <c r="G12">
        <v>58.625</v>
      </c>
      <c r="H12" s="9">
        <v>10</v>
      </c>
      <c r="J12" s="6">
        <f>IFERROR(Info_Camas[[#This Row],[Lineas]]/Info_Camas[[#This Row],[Cortinas]],"Pendiente")</f>
        <v>0</v>
      </c>
    </row>
    <row r="13" spans="1:10" hidden="1" x14ac:dyDescent="0.25">
      <c r="A13" t="str">
        <f>+_xlfn.CONCAT(Info_Camas[[#This Row],[Bloque]],Info_Camas[[#This Row],[Lado]],Info_Camas[[#This Row],[Cama]])</f>
        <v>01B006</v>
      </c>
      <c r="B13" t="s">
        <v>739</v>
      </c>
      <c r="C13" t="s">
        <v>14</v>
      </c>
      <c r="D13" t="s">
        <v>21</v>
      </c>
      <c r="E13" t="s">
        <v>20</v>
      </c>
      <c r="F13" t="s">
        <v>40</v>
      </c>
      <c r="G13">
        <v>58.625</v>
      </c>
      <c r="H13" s="9">
        <v>10</v>
      </c>
      <c r="J13" s="6">
        <f>IFERROR(Info_Camas[[#This Row],[Lineas]]/Info_Camas[[#This Row],[Cortinas]],"Pendiente")</f>
        <v>0</v>
      </c>
    </row>
    <row r="14" spans="1:10" hidden="1" x14ac:dyDescent="0.25">
      <c r="A14" t="str">
        <f>+_xlfn.CONCAT(Info_Camas[[#This Row],[Bloque]],Info_Camas[[#This Row],[Lado]],Info_Camas[[#This Row],[Cama]])</f>
        <v>01A007</v>
      </c>
      <c r="B14" t="s">
        <v>739</v>
      </c>
      <c r="C14" t="s">
        <v>14</v>
      </c>
      <c r="D14" t="s">
        <v>15</v>
      </c>
      <c r="E14" t="s">
        <v>20</v>
      </c>
      <c r="F14" t="s">
        <v>43</v>
      </c>
      <c r="G14">
        <v>58.625</v>
      </c>
      <c r="H14" s="9">
        <v>10</v>
      </c>
      <c r="J14" s="6">
        <f>IFERROR(Info_Camas[[#This Row],[Lineas]]/Info_Camas[[#This Row],[Cortinas]],"Pendiente")</f>
        <v>0</v>
      </c>
    </row>
    <row r="15" spans="1:10" hidden="1" x14ac:dyDescent="0.25">
      <c r="A15" t="str">
        <f>+_xlfn.CONCAT(Info_Camas[[#This Row],[Bloque]],Info_Camas[[#This Row],[Lado]],Info_Camas[[#This Row],[Cama]])</f>
        <v>01B007</v>
      </c>
      <c r="B15" t="s">
        <v>739</v>
      </c>
      <c r="C15" t="s">
        <v>14</v>
      </c>
      <c r="D15" t="s">
        <v>21</v>
      </c>
      <c r="E15" t="s">
        <v>20</v>
      </c>
      <c r="F15" t="s">
        <v>43</v>
      </c>
      <c r="G15">
        <v>58.625</v>
      </c>
      <c r="H15" s="9">
        <v>10</v>
      </c>
      <c r="J15" s="6">
        <f>IFERROR(Info_Camas[[#This Row],[Lineas]]/Info_Camas[[#This Row],[Cortinas]],"Pendiente")</f>
        <v>0</v>
      </c>
    </row>
    <row r="16" spans="1:10" hidden="1" x14ac:dyDescent="0.25">
      <c r="A16" t="str">
        <f>+_xlfn.CONCAT(Info_Camas[[#This Row],[Bloque]],Info_Camas[[#This Row],[Lado]],Info_Camas[[#This Row],[Cama]])</f>
        <v>01A008</v>
      </c>
      <c r="B16" t="s">
        <v>739</v>
      </c>
      <c r="C16" t="s">
        <v>14</v>
      </c>
      <c r="D16" t="s">
        <v>15</v>
      </c>
      <c r="E16" t="s">
        <v>20</v>
      </c>
      <c r="F16" t="s">
        <v>48</v>
      </c>
      <c r="G16">
        <v>58.625</v>
      </c>
      <c r="H16" s="9">
        <v>10</v>
      </c>
      <c r="J16" s="6">
        <f>IFERROR(Info_Camas[[#This Row],[Lineas]]/Info_Camas[[#This Row],[Cortinas]],"Pendiente")</f>
        <v>0</v>
      </c>
    </row>
    <row r="17" spans="1:10" hidden="1" x14ac:dyDescent="0.25">
      <c r="A17" t="str">
        <f>+_xlfn.CONCAT(Info_Camas[[#This Row],[Bloque]],Info_Camas[[#This Row],[Lado]],Info_Camas[[#This Row],[Cama]])</f>
        <v>01B008</v>
      </c>
      <c r="B17" t="s">
        <v>739</v>
      </c>
      <c r="C17" t="s">
        <v>14</v>
      </c>
      <c r="D17" t="s">
        <v>21</v>
      </c>
      <c r="E17" t="s">
        <v>20</v>
      </c>
      <c r="F17" t="s">
        <v>48</v>
      </c>
      <c r="G17">
        <v>58.625</v>
      </c>
      <c r="H17" s="9">
        <v>10</v>
      </c>
      <c r="J17" s="6">
        <f>IFERROR(Info_Camas[[#This Row],[Lineas]]/Info_Camas[[#This Row],[Cortinas]],"Pendiente")</f>
        <v>0</v>
      </c>
    </row>
    <row r="18" spans="1:10" hidden="1" x14ac:dyDescent="0.25">
      <c r="A18" t="str">
        <f>+_xlfn.CONCAT(Info_Camas[[#This Row],[Bloque]],Info_Camas[[#This Row],[Lado]],Info_Camas[[#This Row],[Cama]])</f>
        <v>01A009</v>
      </c>
      <c r="B18" t="s">
        <v>739</v>
      </c>
      <c r="C18" t="s">
        <v>14</v>
      </c>
      <c r="D18" t="s">
        <v>15</v>
      </c>
      <c r="E18" t="s">
        <v>26</v>
      </c>
      <c r="F18" t="s">
        <v>52</v>
      </c>
      <c r="G18">
        <v>58.625</v>
      </c>
      <c r="H18" s="9">
        <v>10</v>
      </c>
      <c r="J18" s="6">
        <f>IFERROR(Info_Camas[[#This Row],[Lineas]]/Info_Camas[[#This Row],[Cortinas]],"Pendiente")</f>
        <v>0</v>
      </c>
    </row>
    <row r="19" spans="1:10" hidden="1" x14ac:dyDescent="0.25">
      <c r="A19" t="str">
        <f>+_xlfn.CONCAT(Info_Camas[[#This Row],[Bloque]],Info_Camas[[#This Row],[Lado]],Info_Camas[[#This Row],[Cama]])</f>
        <v>01B009</v>
      </c>
      <c r="B19" t="s">
        <v>739</v>
      </c>
      <c r="C19" t="s">
        <v>14</v>
      </c>
      <c r="D19" t="s">
        <v>21</v>
      </c>
      <c r="E19" t="s">
        <v>26</v>
      </c>
      <c r="F19" t="s">
        <v>52</v>
      </c>
      <c r="G19">
        <v>58.625</v>
      </c>
      <c r="H19" s="9">
        <v>10</v>
      </c>
      <c r="J19" s="6">
        <f>IFERROR(Info_Camas[[#This Row],[Lineas]]/Info_Camas[[#This Row],[Cortinas]],"Pendiente")</f>
        <v>0</v>
      </c>
    </row>
    <row r="20" spans="1:10" hidden="1" x14ac:dyDescent="0.25">
      <c r="A20" t="str">
        <f>+_xlfn.CONCAT(Info_Camas[[#This Row],[Bloque]],Info_Camas[[#This Row],[Lado]],Info_Camas[[#This Row],[Cama]])</f>
        <v>01A010</v>
      </c>
      <c r="B20" t="s">
        <v>739</v>
      </c>
      <c r="C20" t="s">
        <v>14</v>
      </c>
      <c r="D20" t="s">
        <v>15</v>
      </c>
      <c r="E20" t="s">
        <v>26</v>
      </c>
      <c r="F20" t="s">
        <v>55</v>
      </c>
      <c r="G20">
        <v>58.625</v>
      </c>
      <c r="H20" s="9">
        <v>10</v>
      </c>
      <c r="J20" s="6">
        <f>IFERROR(Info_Camas[[#This Row],[Lineas]]/Info_Camas[[#This Row],[Cortinas]],"Pendiente")</f>
        <v>0</v>
      </c>
    </row>
    <row r="21" spans="1:10" hidden="1" x14ac:dyDescent="0.25">
      <c r="A21" t="str">
        <f>+_xlfn.CONCAT(Info_Camas[[#This Row],[Bloque]],Info_Camas[[#This Row],[Lado]],Info_Camas[[#This Row],[Cama]])</f>
        <v>01B010</v>
      </c>
      <c r="B21" t="s">
        <v>739</v>
      </c>
      <c r="C21" t="s">
        <v>14</v>
      </c>
      <c r="D21" t="s">
        <v>21</v>
      </c>
      <c r="E21" t="s">
        <v>26</v>
      </c>
      <c r="F21" t="s">
        <v>55</v>
      </c>
      <c r="G21">
        <v>5.8601999999999999</v>
      </c>
      <c r="H21" s="9">
        <v>10</v>
      </c>
      <c r="J21" s="6">
        <f>IFERROR(Info_Camas[[#This Row],[Lineas]]/Info_Camas[[#This Row],[Cortinas]],"Pendiente")</f>
        <v>0</v>
      </c>
    </row>
    <row r="22" spans="1:10" hidden="1" x14ac:dyDescent="0.25">
      <c r="A22" t="str">
        <f>+_xlfn.CONCAT(Info_Camas[[#This Row],[Bloque]],Info_Camas[[#This Row],[Lado]],Info_Camas[[#This Row],[Cama]])</f>
        <v>01A011</v>
      </c>
      <c r="B22" t="s">
        <v>739</v>
      </c>
      <c r="C22" t="s">
        <v>14</v>
      </c>
      <c r="D22" t="s">
        <v>15</v>
      </c>
      <c r="E22" t="s">
        <v>26</v>
      </c>
      <c r="F22" t="s">
        <v>58</v>
      </c>
      <c r="G22">
        <v>58.625</v>
      </c>
      <c r="H22" s="9">
        <v>10</v>
      </c>
      <c r="J22" s="6">
        <f>IFERROR(Info_Camas[[#This Row],[Lineas]]/Info_Camas[[#This Row],[Cortinas]],"Pendiente")</f>
        <v>0</v>
      </c>
    </row>
    <row r="23" spans="1:10" hidden="1" x14ac:dyDescent="0.25">
      <c r="A23" t="str">
        <f>+_xlfn.CONCAT(Info_Camas[[#This Row],[Bloque]],Info_Camas[[#This Row],[Lado]],Info_Camas[[#This Row],[Cama]])</f>
        <v>01B011</v>
      </c>
      <c r="B23" t="s">
        <v>739</v>
      </c>
      <c r="C23" t="s">
        <v>14</v>
      </c>
      <c r="D23" t="s">
        <v>21</v>
      </c>
      <c r="E23" t="s">
        <v>26</v>
      </c>
      <c r="F23" t="s">
        <v>58</v>
      </c>
      <c r="G23">
        <v>58.625</v>
      </c>
      <c r="H23" s="9">
        <v>10</v>
      </c>
      <c r="J23" s="6">
        <f>IFERROR(Info_Camas[[#This Row],[Lineas]]/Info_Camas[[#This Row],[Cortinas]],"Pendiente")</f>
        <v>0</v>
      </c>
    </row>
    <row r="24" spans="1:10" hidden="1" x14ac:dyDescent="0.25">
      <c r="A24" t="str">
        <f>+_xlfn.CONCAT(Info_Camas[[#This Row],[Bloque]],Info_Camas[[#This Row],[Lado]],Info_Camas[[#This Row],[Cama]])</f>
        <v>01A012</v>
      </c>
      <c r="B24" t="s">
        <v>739</v>
      </c>
      <c r="C24" t="s">
        <v>14</v>
      </c>
      <c r="D24" t="s">
        <v>15</v>
      </c>
      <c r="E24" t="s">
        <v>26</v>
      </c>
      <c r="F24" t="s">
        <v>62</v>
      </c>
      <c r="G24">
        <v>58.625</v>
      </c>
      <c r="H24" s="9">
        <v>10</v>
      </c>
      <c r="J24" s="6">
        <f>IFERROR(Info_Camas[[#This Row],[Lineas]]/Info_Camas[[#This Row],[Cortinas]],"Pendiente")</f>
        <v>0</v>
      </c>
    </row>
    <row r="25" spans="1:10" hidden="1" x14ac:dyDescent="0.25">
      <c r="A25" t="str">
        <f>+_xlfn.CONCAT(Info_Camas[[#This Row],[Bloque]],Info_Camas[[#This Row],[Lado]],Info_Camas[[#This Row],[Cama]])</f>
        <v>01B012</v>
      </c>
      <c r="B25" t="s">
        <v>739</v>
      </c>
      <c r="C25" t="s">
        <v>14</v>
      </c>
      <c r="D25" t="s">
        <v>21</v>
      </c>
      <c r="E25" t="s">
        <v>26</v>
      </c>
      <c r="F25" t="s">
        <v>62</v>
      </c>
      <c r="G25">
        <v>58.625</v>
      </c>
      <c r="H25" s="9">
        <v>10</v>
      </c>
      <c r="J25" s="6">
        <f>IFERROR(Info_Camas[[#This Row],[Lineas]]/Info_Camas[[#This Row],[Cortinas]],"Pendiente")</f>
        <v>0</v>
      </c>
    </row>
    <row r="26" spans="1:10" hidden="1" x14ac:dyDescent="0.25">
      <c r="A26" t="str">
        <f>+_xlfn.CONCAT(Info_Camas[[#This Row],[Bloque]],Info_Camas[[#This Row],[Lado]],Info_Camas[[#This Row],[Cama]])</f>
        <v>01A013</v>
      </c>
      <c r="B26" t="s">
        <v>739</v>
      </c>
      <c r="C26" t="s">
        <v>14</v>
      </c>
      <c r="D26" t="s">
        <v>15</v>
      </c>
      <c r="E26" t="s">
        <v>30</v>
      </c>
      <c r="F26" t="s">
        <v>65</v>
      </c>
      <c r="G26">
        <v>58.625</v>
      </c>
      <c r="H26" s="9">
        <v>10</v>
      </c>
      <c r="J26" s="6">
        <f>IFERROR(Info_Camas[[#This Row],[Lineas]]/Info_Camas[[#This Row],[Cortinas]],"Pendiente")</f>
        <v>0</v>
      </c>
    </row>
    <row r="27" spans="1:10" hidden="1" x14ac:dyDescent="0.25">
      <c r="A27" t="str">
        <f>+_xlfn.CONCAT(Info_Camas[[#This Row],[Bloque]],Info_Camas[[#This Row],[Lado]],Info_Camas[[#This Row],[Cama]])</f>
        <v>01B013</v>
      </c>
      <c r="B27" t="s">
        <v>739</v>
      </c>
      <c r="C27" t="s">
        <v>14</v>
      </c>
      <c r="D27" t="s">
        <v>21</v>
      </c>
      <c r="E27" t="s">
        <v>30</v>
      </c>
      <c r="F27" t="s">
        <v>65</v>
      </c>
      <c r="G27">
        <v>58.625</v>
      </c>
      <c r="H27" s="9">
        <v>10</v>
      </c>
      <c r="J27" s="6">
        <f>IFERROR(Info_Camas[[#This Row],[Lineas]]/Info_Camas[[#This Row],[Cortinas]],"Pendiente")</f>
        <v>0</v>
      </c>
    </row>
    <row r="28" spans="1:10" hidden="1" x14ac:dyDescent="0.25">
      <c r="A28" t="str">
        <f>+_xlfn.CONCAT(Info_Camas[[#This Row],[Bloque]],Info_Camas[[#This Row],[Lado]],Info_Camas[[#This Row],[Cama]])</f>
        <v>01A014</v>
      </c>
      <c r="B28" t="s">
        <v>739</v>
      </c>
      <c r="C28" t="s">
        <v>14</v>
      </c>
      <c r="D28" t="s">
        <v>15</v>
      </c>
      <c r="E28" t="s">
        <v>30</v>
      </c>
      <c r="F28" t="s">
        <v>68</v>
      </c>
      <c r="G28">
        <v>58.625</v>
      </c>
      <c r="H28" s="9">
        <v>10</v>
      </c>
      <c r="J28" s="6">
        <f>IFERROR(Info_Camas[[#This Row],[Lineas]]/Info_Camas[[#This Row],[Cortinas]],"Pendiente")</f>
        <v>0</v>
      </c>
    </row>
    <row r="29" spans="1:10" hidden="1" x14ac:dyDescent="0.25">
      <c r="A29" t="str">
        <f>+_xlfn.CONCAT(Info_Camas[[#This Row],[Bloque]],Info_Camas[[#This Row],[Lado]],Info_Camas[[#This Row],[Cama]])</f>
        <v>01B014</v>
      </c>
      <c r="B29" t="s">
        <v>739</v>
      </c>
      <c r="C29" t="s">
        <v>14</v>
      </c>
      <c r="D29" t="s">
        <v>21</v>
      </c>
      <c r="E29" t="s">
        <v>30</v>
      </c>
      <c r="F29" t="s">
        <v>68</v>
      </c>
      <c r="G29">
        <v>58.625</v>
      </c>
      <c r="H29" s="9">
        <v>10</v>
      </c>
      <c r="J29" s="6">
        <f>IFERROR(Info_Camas[[#This Row],[Lineas]]/Info_Camas[[#This Row],[Cortinas]],"Pendiente")</f>
        <v>0</v>
      </c>
    </row>
    <row r="30" spans="1:10" hidden="1" x14ac:dyDescent="0.25">
      <c r="A30" t="str">
        <f>+_xlfn.CONCAT(Info_Camas[[#This Row],[Bloque]],Info_Camas[[#This Row],[Lado]],Info_Camas[[#This Row],[Cama]])</f>
        <v>01A015</v>
      </c>
      <c r="B30" t="s">
        <v>739</v>
      </c>
      <c r="C30" t="s">
        <v>14</v>
      </c>
      <c r="D30" t="s">
        <v>15</v>
      </c>
      <c r="E30" t="s">
        <v>30</v>
      </c>
      <c r="F30" t="s">
        <v>72</v>
      </c>
      <c r="G30">
        <v>58.625</v>
      </c>
      <c r="H30" s="9">
        <v>10</v>
      </c>
      <c r="J30" s="6">
        <f>IFERROR(Info_Camas[[#This Row],[Lineas]]/Info_Camas[[#This Row],[Cortinas]],"Pendiente")</f>
        <v>0</v>
      </c>
    </row>
    <row r="31" spans="1:10" hidden="1" x14ac:dyDescent="0.25">
      <c r="A31" t="str">
        <f>+_xlfn.CONCAT(Info_Camas[[#This Row],[Bloque]],Info_Camas[[#This Row],[Lado]],Info_Camas[[#This Row],[Cama]])</f>
        <v>01B015</v>
      </c>
      <c r="B31" t="s">
        <v>739</v>
      </c>
      <c r="C31" t="s">
        <v>14</v>
      </c>
      <c r="D31" t="s">
        <v>21</v>
      </c>
      <c r="E31" t="s">
        <v>30</v>
      </c>
      <c r="F31" t="s">
        <v>72</v>
      </c>
      <c r="G31">
        <v>58.625</v>
      </c>
      <c r="H31" s="9">
        <v>10</v>
      </c>
      <c r="J31" s="6">
        <f>IFERROR(Info_Camas[[#This Row],[Lineas]]/Info_Camas[[#This Row],[Cortinas]],"Pendiente")</f>
        <v>0</v>
      </c>
    </row>
    <row r="32" spans="1:10" hidden="1" x14ac:dyDescent="0.25">
      <c r="A32" t="str">
        <f>+_xlfn.CONCAT(Info_Camas[[#This Row],[Bloque]],Info_Camas[[#This Row],[Lado]],Info_Camas[[#This Row],[Cama]])</f>
        <v>01A016</v>
      </c>
      <c r="B32" t="s">
        <v>739</v>
      </c>
      <c r="C32" t="s">
        <v>14</v>
      </c>
      <c r="D32" t="s">
        <v>15</v>
      </c>
      <c r="E32" t="s">
        <v>30</v>
      </c>
      <c r="F32" t="s">
        <v>75</v>
      </c>
      <c r="G32">
        <v>52.994799999999998</v>
      </c>
      <c r="H32" s="9">
        <v>10</v>
      </c>
      <c r="J32" s="6">
        <f>IFERROR(Info_Camas[[#This Row],[Lineas]]/Info_Camas[[#This Row],[Cortinas]],"Pendiente")</f>
        <v>0</v>
      </c>
    </row>
    <row r="33" spans="1:10" hidden="1" x14ac:dyDescent="0.25">
      <c r="A33" t="str">
        <f>+_xlfn.CONCAT(Info_Camas[[#This Row],[Bloque]],Info_Camas[[#This Row],[Lado]],Info_Camas[[#This Row],[Cama]])</f>
        <v>01B016</v>
      </c>
      <c r="B33" t="s">
        <v>739</v>
      </c>
      <c r="C33" t="s">
        <v>14</v>
      </c>
      <c r="D33" t="s">
        <v>21</v>
      </c>
      <c r="E33" t="s">
        <v>30</v>
      </c>
      <c r="F33" t="s">
        <v>75</v>
      </c>
      <c r="G33">
        <v>8.7966999999999995</v>
      </c>
      <c r="H33" s="9">
        <v>10</v>
      </c>
      <c r="J33" s="6">
        <f>IFERROR(Info_Camas[[#This Row],[Lineas]]/Info_Camas[[#This Row],[Cortinas]],"Pendiente")</f>
        <v>0</v>
      </c>
    </row>
    <row r="34" spans="1:10" hidden="1" x14ac:dyDescent="0.25">
      <c r="A34" t="str">
        <f>+_xlfn.CONCAT(Info_Camas[[#This Row],[Bloque]],Info_Camas[[#This Row],[Lado]],Info_Camas[[#This Row],[Cama]])</f>
        <v>01A017</v>
      </c>
      <c r="B34" t="s">
        <v>739</v>
      </c>
      <c r="C34" t="s">
        <v>14</v>
      </c>
      <c r="D34" t="s">
        <v>15</v>
      </c>
      <c r="E34" t="s">
        <v>34</v>
      </c>
      <c r="F34" t="s">
        <v>78</v>
      </c>
      <c r="G34">
        <v>58.625</v>
      </c>
      <c r="H34" s="9">
        <v>10</v>
      </c>
      <c r="J34" s="6">
        <f>IFERROR(Info_Camas[[#This Row],[Lineas]]/Info_Camas[[#This Row],[Cortinas]],"Pendiente")</f>
        <v>0</v>
      </c>
    </row>
    <row r="35" spans="1:10" hidden="1" x14ac:dyDescent="0.25">
      <c r="A35" t="str">
        <f>+_xlfn.CONCAT(Info_Camas[[#This Row],[Bloque]],Info_Camas[[#This Row],[Lado]],Info_Camas[[#This Row],[Cama]])</f>
        <v>01B017</v>
      </c>
      <c r="B35" t="s">
        <v>739</v>
      </c>
      <c r="C35" t="s">
        <v>14</v>
      </c>
      <c r="D35" t="s">
        <v>21</v>
      </c>
      <c r="E35" t="s">
        <v>34</v>
      </c>
      <c r="F35" t="s">
        <v>78</v>
      </c>
      <c r="G35">
        <v>58.625</v>
      </c>
      <c r="H35" s="9">
        <v>10</v>
      </c>
      <c r="J35" s="6">
        <f>IFERROR(Info_Camas[[#This Row],[Lineas]]/Info_Camas[[#This Row],[Cortinas]],"Pendiente")</f>
        <v>0</v>
      </c>
    </row>
    <row r="36" spans="1:10" hidden="1" x14ac:dyDescent="0.25">
      <c r="A36" t="str">
        <f>+_xlfn.CONCAT(Info_Camas[[#This Row],[Bloque]],Info_Camas[[#This Row],[Lado]],Info_Camas[[#This Row],[Cama]])</f>
        <v>01A018</v>
      </c>
      <c r="B36" t="s">
        <v>739</v>
      </c>
      <c r="C36" t="s">
        <v>14</v>
      </c>
      <c r="D36" t="s">
        <v>15</v>
      </c>
      <c r="E36" t="s">
        <v>34</v>
      </c>
      <c r="F36" t="s">
        <v>81</v>
      </c>
      <c r="G36">
        <v>58.625</v>
      </c>
      <c r="H36" s="9">
        <v>10</v>
      </c>
      <c r="J36" s="6">
        <f>IFERROR(Info_Camas[[#This Row],[Lineas]]/Info_Camas[[#This Row],[Cortinas]],"Pendiente")</f>
        <v>0</v>
      </c>
    </row>
    <row r="37" spans="1:10" hidden="1" x14ac:dyDescent="0.25">
      <c r="A37" t="str">
        <f>+_xlfn.CONCAT(Info_Camas[[#This Row],[Bloque]],Info_Camas[[#This Row],[Lado]],Info_Camas[[#This Row],[Cama]])</f>
        <v>01B018</v>
      </c>
      <c r="B37" t="s">
        <v>739</v>
      </c>
      <c r="C37" t="s">
        <v>14</v>
      </c>
      <c r="D37" t="s">
        <v>21</v>
      </c>
      <c r="E37" t="s">
        <v>34</v>
      </c>
      <c r="F37" t="s">
        <v>81</v>
      </c>
      <c r="G37">
        <v>58.625</v>
      </c>
      <c r="H37" s="9">
        <v>10</v>
      </c>
      <c r="J37" s="6">
        <f>IFERROR(Info_Camas[[#This Row],[Lineas]]/Info_Camas[[#This Row],[Cortinas]],"Pendiente")</f>
        <v>0</v>
      </c>
    </row>
    <row r="38" spans="1:10" hidden="1" x14ac:dyDescent="0.25">
      <c r="A38" t="str">
        <f>+_xlfn.CONCAT(Info_Camas[[#This Row],[Bloque]],Info_Camas[[#This Row],[Lado]],Info_Camas[[#This Row],[Cama]])</f>
        <v>01A019</v>
      </c>
      <c r="B38" t="s">
        <v>739</v>
      </c>
      <c r="C38" t="s">
        <v>14</v>
      </c>
      <c r="D38" t="s">
        <v>15</v>
      </c>
      <c r="E38" t="s">
        <v>34</v>
      </c>
      <c r="F38" t="s">
        <v>84</v>
      </c>
      <c r="G38">
        <v>58.625</v>
      </c>
      <c r="H38" s="9">
        <v>10</v>
      </c>
      <c r="J38" s="6">
        <f>IFERROR(Info_Camas[[#This Row],[Lineas]]/Info_Camas[[#This Row],[Cortinas]],"Pendiente")</f>
        <v>0</v>
      </c>
    </row>
    <row r="39" spans="1:10" hidden="1" x14ac:dyDescent="0.25">
      <c r="A39" t="str">
        <f>+_xlfn.CONCAT(Info_Camas[[#This Row],[Bloque]],Info_Camas[[#This Row],[Lado]],Info_Camas[[#This Row],[Cama]])</f>
        <v>01B019</v>
      </c>
      <c r="B39" t="s">
        <v>739</v>
      </c>
      <c r="C39" t="s">
        <v>14</v>
      </c>
      <c r="D39" t="s">
        <v>21</v>
      </c>
      <c r="E39" t="s">
        <v>34</v>
      </c>
      <c r="F39" t="s">
        <v>84</v>
      </c>
      <c r="G39">
        <v>58.625</v>
      </c>
      <c r="H39" s="9">
        <v>10</v>
      </c>
      <c r="J39" s="6">
        <f>IFERROR(Info_Camas[[#This Row],[Lineas]]/Info_Camas[[#This Row],[Cortinas]],"Pendiente")</f>
        <v>0</v>
      </c>
    </row>
    <row r="40" spans="1:10" hidden="1" x14ac:dyDescent="0.25">
      <c r="A40" t="str">
        <f>+_xlfn.CONCAT(Info_Camas[[#This Row],[Bloque]],Info_Camas[[#This Row],[Lado]],Info_Camas[[#This Row],[Cama]])</f>
        <v>01A020</v>
      </c>
      <c r="B40" t="s">
        <v>739</v>
      </c>
      <c r="C40" t="s">
        <v>14</v>
      </c>
      <c r="D40" t="s">
        <v>15</v>
      </c>
      <c r="E40" t="s">
        <v>34</v>
      </c>
      <c r="F40" t="s">
        <v>87</v>
      </c>
      <c r="G40">
        <v>11.7224</v>
      </c>
      <c r="H40" s="9">
        <v>10</v>
      </c>
      <c r="J40" s="6">
        <f>IFERROR(Info_Camas[[#This Row],[Lineas]]/Info_Camas[[#This Row],[Cortinas]],"Pendiente")</f>
        <v>0</v>
      </c>
    </row>
    <row r="41" spans="1:10" hidden="1" x14ac:dyDescent="0.25">
      <c r="A41" t="str">
        <f>+_xlfn.CONCAT(Info_Camas[[#This Row],[Bloque]],Info_Camas[[#This Row],[Lado]],Info_Camas[[#This Row],[Cama]])</f>
        <v>01B020</v>
      </c>
      <c r="B41" t="s">
        <v>739</v>
      </c>
      <c r="C41" t="s">
        <v>14</v>
      </c>
      <c r="D41" t="s">
        <v>21</v>
      </c>
      <c r="E41" t="s">
        <v>34</v>
      </c>
      <c r="F41" t="s">
        <v>87</v>
      </c>
      <c r="G41">
        <v>58.625</v>
      </c>
      <c r="H41" s="9">
        <v>10</v>
      </c>
      <c r="J41" s="6">
        <f>IFERROR(Info_Camas[[#This Row],[Lineas]]/Info_Camas[[#This Row],[Cortinas]],"Pendiente")</f>
        <v>0</v>
      </c>
    </row>
    <row r="42" spans="1:10" hidden="1" x14ac:dyDescent="0.25">
      <c r="A42" t="str">
        <f>+_xlfn.CONCAT(Info_Camas[[#This Row],[Bloque]],Info_Camas[[#This Row],[Lado]],Info_Camas[[#This Row],[Cama]])</f>
        <v>01A021</v>
      </c>
      <c r="B42" t="s">
        <v>739</v>
      </c>
      <c r="C42" t="s">
        <v>14</v>
      </c>
      <c r="D42" t="s">
        <v>15</v>
      </c>
      <c r="E42" t="s">
        <v>39</v>
      </c>
      <c r="F42" t="s">
        <v>90</v>
      </c>
      <c r="G42">
        <v>58.625</v>
      </c>
      <c r="H42" s="9">
        <v>10</v>
      </c>
      <c r="J42" s="6">
        <f>IFERROR(Info_Camas[[#This Row],[Lineas]]/Info_Camas[[#This Row],[Cortinas]],"Pendiente")</f>
        <v>0</v>
      </c>
    </row>
    <row r="43" spans="1:10" hidden="1" x14ac:dyDescent="0.25">
      <c r="A43" t="str">
        <f>+_xlfn.CONCAT(Info_Camas[[#This Row],[Bloque]],Info_Camas[[#This Row],[Lado]],Info_Camas[[#This Row],[Cama]])</f>
        <v>01B021</v>
      </c>
      <c r="B43" t="s">
        <v>739</v>
      </c>
      <c r="C43" t="s">
        <v>14</v>
      </c>
      <c r="D43" t="s">
        <v>21</v>
      </c>
      <c r="E43" t="s">
        <v>39</v>
      </c>
      <c r="F43" t="s">
        <v>90</v>
      </c>
      <c r="G43">
        <v>58.625</v>
      </c>
      <c r="H43" s="9">
        <v>10</v>
      </c>
      <c r="J43" s="6">
        <f>IFERROR(Info_Camas[[#This Row],[Lineas]]/Info_Camas[[#This Row],[Cortinas]],"Pendiente")</f>
        <v>0</v>
      </c>
    </row>
    <row r="44" spans="1:10" hidden="1" x14ac:dyDescent="0.25">
      <c r="A44" t="str">
        <f>+_xlfn.CONCAT(Info_Camas[[#This Row],[Bloque]],Info_Camas[[#This Row],[Lado]],Info_Camas[[#This Row],[Cama]])</f>
        <v>01A022</v>
      </c>
      <c r="B44" t="s">
        <v>739</v>
      </c>
      <c r="C44" t="s">
        <v>14</v>
      </c>
      <c r="D44" t="s">
        <v>15</v>
      </c>
      <c r="E44" t="s">
        <v>39</v>
      </c>
      <c r="F44" t="s">
        <v>94</v>
      </c>
      <c r="G44">
        <v>58.625</v>
      </c>
      <c r="H44" s="9">
        <v>10</v>
      </c>
      <c r="J44" s="6">
        <f>IFERROR(Info_Camas[[#This Row],[Lineas]]/Info_Camas[[#This Row],[Cortinas]],"Pendiente")</f>
        <v>0</v>
      </c>
    </row>
    <row r="45" spans="1:10" hidden="1" x14ac:dyDescent="0.25">
      <c r="A45" t="str">
        <f>+_xlfn.CONCAT(Info_Camas[[#This Row],[Bloque]],Info_Camas[[#This Row],[Lado]],Info_Camas[[#This Row],[Cama]])</f>
        <v>01B022</v>
      </c>
      <c r="B45" t="s">
        <v>739</v>
      </c>
      <c r="C45" t="s">
        <v>14</v>
      </c>
      <c r="D45" t="s">
        <v>21</v>
      </c>
      <c r="E45" t="s">
        <v>39</v>
      </c>
      <c r="F45" t="s">
        <v>94</v>
      </c>
      <c r="G45">
        <v>58.625</v>
      </c>
      <c r="H45" s="9">
        <v>10</v>
      </c>
      <c r="J45" s="6">
        <f>IFERROR(Info_Camas[[#This Row],[Lineas]]/Info_Camas[[#This Row],[Cortinas]],"Pendiente")</f>
        <v>0</v>
      </c>
    </row>
    <row r="46" spans="1:10" hidden="1" x14ac:dyDescent="0.25">
      <c r="A46" t="str">
        <f>+_xlfn.CONCAT(Info_Camas[[#This Row],[Bloque]],Info_Camas[[#This Row],[Lado]],Info_Camas[[#This Row],[Cama]])</f>
        <v>01A023</v>
      </c>
      <c r="B46" t="s">
        <v>739</v>
      </c>
      <c r="C46" t="s">
        <v>14</v>
      </c>
      <c r="D46" t="s">
        <v>15</v>
      </c>
      <c r="E46" t="s">
        <v>39</v>
      </c>
      <c r="F46" t="s">
        <v>97</v>
      </c>
      <c r="G46">
        <v>58.625</v>
      </c>
      <c r="H46" s="9">
        <v>10</v>
      </c>
      <c r="J46" s="6">
        <f>IFERROR(Info_Camas[[#This Row],[Lineas]]/Info_Camas[[#This Row],[Cortinas]],"Pendiente")</f>
        <v>0</v>
      </c>
    </row>
    <row r="47" spans="1:10" hidden="1" x14ac:dyDescent="0.25">
      <c r="A47" t="str">
        <f>+_xlfn.CONCAT(Info_Camas[[#This Row],[Bloque]],Info_Camas[[#This Row],[Lado]],Info_Camas[[#This Row],[Cama]])</f>
        <v>01B023</v>
      </c>
      <c r="B47" t="s">
        <v>739</v>
      </c>
      <c r="C47" t="s">
        <v>14</v>
      </c>
      <c r="D47" t="s">
        <v>21</v>
      </c>
      <c r="E47" t="s">
        <v>39</v>
      </c>
      <c r="F47" t="s">
        <v>97</v>
      </c>
      <c r="G47">
        <v>58.625</v>
      </c>
      <c r="H47" s="9">
        <v>10</v>
      </c>
      <c r="J47" s="6">
        <f>IFERROR(Info_Camas[[#This Row],[Lineas]]/Info_Camas[[#This Row],[Cortinas]],"Pendiente")</f>
        <v>0</v>
      </c>
    </row>
    <row r="48" spans="1:10" hidden="1" x14ac:dyDescent="0.25">
      <c r="A48" t="str">
        <f>+_xlfn.CONCAT(Info_Camas[[#This Row],[Bloque]],Info_Camas[[#This Row],[Lado]],Info_Camas[[#This Row],[Cama]])</f>
        <v>01A024</v>
      </c>
      <c r="B48" t="s">
        <v>739</v>
      </c>
      <c r="C48" t="s">
        <v>14</v>
      </c>
      <c r="D48" t="s">
        <v>15</v>
      </c>
      <c r="E48" t="s">
        <v>39</v>
      </c>
      <c r="F48" t="s">
        <v>100</v>
      </c>
      <c r="G48">
        <v>58.625</v>
      </c>
      <c r="H48" s="9">
        <v>10</v>
      </c>
      <c r="J48" s="6">
        <f>IFERROR(Info_Camas[[#This Row],[Lineas]]/Info_Camas[[#This Row],[Cortinas]],"Pendiente")</f>
        <v>0</v>
      </c>
    </row>
    <row r="49" spans="1:10" hidden="1" x14ac:dyDescent="0.25">
      <c r="A49" t="str">
        <f>+_xlfn.CONCAT(Info_Camas[[#This Row],[Bloque]],Info_Camas[[#This Row],[Lado]],Info_Camas[[#This Row],[Cama]])</f>
        <v>01B024</v>
      </c>
      <c r="B49" t="s">
        <v>739</v>
      </c>
      <c r="C49" t="s">
        <v>14</v>
      </c>
      <c r="D49" t="s">
        <v>21</v>
      </c>
      <c r="E49" t="s">
        <v>39</v>
      </c>
      <c r="F49" t="s">
        <v>100</v>
      </c>
      <c r="G49">
        <v>58.625</v>
      </c>
      <c r="H49" s="9">
        <v>10</v>
      </c>
      <c r="J49" s="6">
        <f>IFERROR(Info_Camas[[#This Row],[Lineas]]/Info_Camas[[#This Row],[Cortinas]],"Pendiente")</f>
        <v>0</v>
      </c>
    </row>
    <row r="50" spans="1:10" hidden="1" x14ac:dyDescent="0.25">
      <c r="A50" t="str">
        <f>+_xlfn.CONCAT(Info_Camas[[#This Row],[Bloque]],Info_Camas[[#This Row],[Lado]],Info_Camas[[#This Row],[Cama]])</f>
        <v>01A025</v>
      </c>
      <c r="B50" t="s">
        <v>739</v>
      </c>
      <c r="C50" t="s">
        <v>14</v>
      </c>
      <c r="D50" t="s">
        <v>15</v>
      </c>
      <c r="E50" t="s">
        <v>42</v>
      </c>
      <c r="F50" t="s">
        <v>103</v>
      </c>
      <c r="G50">
        <v>58.625</v>
      </c>
      <c r="H50" s="9">
        <v>10</v>
      </c>
      <c r="J50" s="6">
        <f>IFERROR(Info_Camas[[#This Row],[Lineas]]/Info_Camas[[#This Row],[Cortinas]],"Pendiente")</f>
        <v>0</v>
      </c>
    </row>
    <row r="51" spans="1:10" hidden="1" x14ac:dyDescent="0.25">
      <c r="A51" t="str">
        <f>+_xlfn.CONCAT(Info_Camas[[#This Row],[Bloque]],Info_Camas[[#This Row],[Lado]],Info_Camas[[#This Row],[Cama]])</f>
        <v>01B025</v>
      </c>
      <c r="B51" t="s">
        <v>739</v>
      </c>
      <c r="C51" t="s">
        <v>14</v>
      </c>
      <c r="D51" t="s">
        <v>21</v>
      </c>
      <c r="E51" t="s">
        <v>42</v>
      </c>
      <c r="F51" t="s">
        <v>103</v>
      </c>
      <c r="G51">
        <v>58.625</v>
      </c>
      <c r="H51" s="9">
        <v>10</v>
      </c>
      <c r="J51" s="6">
        <f>IFERROR(Info_Camas[[#This Row],[Lineas]]/Info_Camas[[#This Row],[Cortinas]],"Pendiente")</f>
        <v>0</v>
      </c>
    </row>
    <row r="52" spans="1:10" hidden="1" x14ac:dyDescent="0.25">
      <c r="A52" t="str">
        <f>+_xlfn.CONCAT(Info_Camas[[#This Row],[Bloque]],Info_Camas[[#This Row],[Lado]],Info_Camas[[#This Row],[Cama]])</f>
        <v>01A026</v>
      </c>
      <c r="B52" t="s">
        <v>739</v>
      </c>
      <c r="C52" t="s">
        <v>14</v>
      </c>
      <c r="D52" t="s">
        <v>15</v>
      </c>
      <c r="E52" t="s">
        <v>42</v>
      </c>
      <c r="F52" t="s">
        <v>106</v>
      </c>
      <c r="G52">
        <v>58.625</v>
      </c>
      <c r="H52" s="9">
        <v>10</v>
      </c>
      <c r="J52" s="6">
        <f>IFERROR(Info_Camas[[#This Row],[Lineas]]/Info_Camas[[#This Row],[Cortinas]],"Pendiente")</f>
        <v>0</v>
      </c>
    </row>
    <row r="53" spans="1:10" hidden="1" x14ac:dyDescent="0.25">
      <c r="A53" t="str">
        <f>+_xlfn.CONCAT(Info_Camas[[#This Row],[Bloque]],Info_Camas[[#This Row],[Lado]],Info_Camas[[#This Row],[Cama]])</f>
        <v>01B026</v>
      </c>
      <c r="B53" t="s">
        <v>739</v>
      </c>
      <c r="C53" t="s">
        <v>14</v>
      </c>
      <c r="D53" t="s">
        <v>21</v>
      </c>
      <c r="E53" t="s">
        <v>42</v>
      </c>
      <c r="F53" t="s">
        <v>106</v>
      </c>
      <c r="G53">
        <v>58.625</v>
      </c>
      <c r="H53" s="9">
        <v>10</v>
      </c>
      <c r="J53" s="6">
        <f>IFERROR(Info_Camas[[#This Row],[Lineas]]/Info_Camas[[#This Row],[Cortinas]],"Pendiente")</f>
        <v>0</v>
      </c>
    </row>
    <row r="54" spans="1:10" hidden="1" x14ac:dyDescent="0.25">
      <c r="A54" t="str">
        <f>+_xlfn.CONCAT(Info_Camas[[#This Row],[Bloque]],Info_Camas[[#This Row],[Lado]],Info_Camas[[#This Row],[Cama]])</f>
        <v>01A027</v>
      </c>
      <c r="B54" t="s">
        <v>739</v>
      </c>
      <c r="C54" t="s">
        <v>14</v>
      </c>
      <c r="D54" t="s">
        <v>15</v>
      </c>
      <c r="E54" t="s">
        <v>42</v>
      </c>
      <c r="F54" t="s">
        <v>109</v>
      </c>
      <c r="G54">
        <v>58.625</v>
      </c>
      <c r="H54" s="9">
        <v>10</v>
      </c>
      <c r="J54" s="6">
        <f>IFERROR(Info_Camas[[#This Row],[Lineas]]/Info_Camas[[#This Row],[Cortinas]],"Pendiente")</f>
        <v>0</v>
      </c>
    </row>
    <row r="55" spans="1:10" hidden="1" x14ac:dyDescent="0.25">
      <c r="A55" t="str">
        <f>+_xlfn.CONCAT(Info_Camas[[#This Row],[Bloque]],Info_Camas[[#This Row],[Lado]],Info_Camas[[#This Row],[Cama]])</f>
        <v>01B027</v>
      </c>
      <c r="B55" t="s">
        <v>739</v>
      </c>
      <c r="C55" t="s">
        <v>14</v>
      </c>
      <c r="D55" t="s">
        <v>21</v>
      </c>
      <c r="E55" t="s">
        <v>42</v>
      </c>
      <c r="F55" t="s">
        <v>109</v>
      </c>
      <c r="G55">
        <v>58.625</v>
      </c>
      <c r="H55" s="9">
        <v>10</v>
      </c>
      <c r="J55" s="6">
        <f>IFERROR(Info_Camas[[#This Row],[Lineas]]/Info_Camas[[#This Row],[Cortinas]],"Pendiente")</f>
        <v>0</v>
      </c>
    </row>
    <row r="56" spans="1:10" hidden="1" x14ac:dyDescent="0.25">
      <c r="A56" t="str">
        <f>+_xlfn.CONCAT(Info_Camas[[#This Row],[Bloque]],Info_Camas[[#This Row],[Lado]],Info_Camas[[#This Row],[Cama]])</f>
        <v>01A028</v>
      </c>
      <c r="B56" t="s">
        <v>739</v>
      </c>
      <c r="C56" t="s">
        <v>14</v>
      </c>
      <c r="D56" t="s">
        <v>15</v>
      </c>
      <c r="E56" t="s">
        <v>42</v>
      </c>
      <c r="F56" t="s">
        <v>112</v>
      </c>
      <c r="G56">
        <v>32.2438</v>
      </c>
      <c r="H56" s="9">
        <v>10</v>
      </c>
      <c r="J56" s="6">
        <f>IFERROR(Info_Camas[[#This Row],[Lineas]]/Info_Camas[[#This Row],[Cortinas]],"Pendiente")</f>
        <v>0</v>
      </c>
    </row>
    <row r="57" spans="1:10" hidden="1" x14ac:dyDescent="0.25">
      <c r="A57" t="str">
        <f>+_xlfn.CONCAT(Info_Camas[[#This Row],[Bloque]],Info_Camas[[#This Row],[Lado]],Info_Camas[[#This Row],[Cama]])</f>
        <v>01B028</v>
      </c>
      <c r="B57" t="s">
        <v>739</v>
      </c>
      <c r="C57" t="s">
        <v>14</v>
      </c>
      <c r="D57" t="s">
        <v>21</v>
      </c>
      <c r="E57" t="s">
        <v>42</v>
      </c>
      <c r="F57" t="s">
        <v>112</v>
      </c>
      <c r="G57">
        <v>58.625</v>
      </c>
      <c r="H57" s="9">
        <v>10</v>
      </c>
      <c r="J57" s="6">
        <f>IFERROR(Info_Camas[[#This Row],[Lineas]]/Info_Camas[[#This Row],[Cortinas]],"Pendiente")</f>
        <v>0</v>
      </c>
    </row>
    <row r="58" spans="1:10" hidden="1" x14ac:dyDescent="0.25">
      <c r="A58" t="str">
        <f>+_xlfn.CONCAT(Info_Camas[[#This Row],[Bloque]],Info_Camas[[#This Row],[Lado]],Info_Camas[[#This Row],[Cama]])</f>
        <v>01A029</v>
      </c>
      <c r="B58" t="s">
        <v>739</v>
      </c>
      <c r="C58" t="s">
        <v>14</v>
      </c>
      <c r="D58" t="s">
        <v>15</v>
      </c>
      <c r="E58" t="s">
        <v>46</v>
      </c>
      <c r="F58" t="s">
        <v>115</v>
      </c>
      <c r="G58">
        <v>58.625</v>
      </c>
      <c r="H58" s="9">
        <v>10</v>
      </c>
      <c r="J58" s="6">
        <f>IFERROR(Info_Camas[[#This Row],[Lineas]]/Info_Camas[[#This Row],[Cortinas]],"Pendiente")</f>
        <v>0</v>
      </c>
    </row>
    <row r="59" spans="1:10" hidden="1" x14ac:dyDescent="0.25">
      <c r="A59" t="str">
        <f>+_xlfn.CONCAT(Info_Camas[[#This Row],[Bloque]],Info_Camas[[#This Row],[Lado]],Info_Camas[[#This Row],[Cama]])</f>
        <v>01B029</v>
      </c>
      <c r="B59" t="s">
        <v>739</v>
      </c>
      <c r="C59" t="s">
        <v>14</v>
      </c>
      <c r="D59" t="s">
        <v>21</v>
      </c>
      <c r="E59" t="s">
        <v>46</v>
      </c>
      <c r="F59" t="s">
        <v>115</v>
      </c>
      <c r="G59">
        <v>58.625</v>
      </c>
      <c r="H59" s="9">
        <v>10</v>
      </c>
      <c r="J59" s="6">
        <f>IFERROR(Info_Camas[[#This Row],[Lineas]]/Info_Camas[[#This Row],[Cortinas]],"Pendiente")</f>
        <v>0</v>
      </c>
    </row>
    <row r="60" spans="1:10" hidden="1" x14ac:dyDescent="0.25">
      <c r="A60" t="str">
        <f>+_xlfn.CONCAT(Info_Camas[[#This Row],[Bloque]],Info_Camas[[#This Row],[Lado]],Info_Camas[[#This Row],[Cama]])</f>
        <v>01A030</v>
      </c>
      <c r="B60" t="s">
        <v>739</v>
      </c>
      <c r="C60" t="s">
        <v>14</v>
      </c>
      <c r="D60" t="s">
        <v>15</v>
      </c>
      <c r="E60" t="s">
        <v>46</v>
      </c>
      <c r="F60" t="s">
        <v>118</v>
      </c>
      <c r="G60">
        <v>58.625</v>
      </c>
      <c r="H60" s="9">
        <v>10</v>
      </c>
      <c r="J60" s="6">
        <f>IFERROR(Info_Camas[[#This Row],[Lineas]]/Info_Camas[[#This Row],[Cortinas]],"Pendiente")</f>
        <v>0</v>
      </c>
    </row>
    <row r="61" spans="1:10" hidden="1" x14ac:dyDescent="0.25">
      <c r="A61" t="str">
        <f>+_xlfn.CONCAT(Info_Camas[[#This Row],[Bloque]],Info_Camas[[#This Row],[Lado]],Info_Camas[[#This Row],[Cama]])</f>
        <v>01B030</v>
      </c>
      <c r="B61" t="s">
        <v>739</v>
      </c>
      <c r="C61" t="s">
        <v>14</v>
      </c>
      <c r="D61" t="s">
        <v>21</v>
      </c>
      <c r="E61" t="s">
        <v>46</v>
      </c>
      <c r="F61" t="s">
        <v>118</v>
      </c>
      <c r="G61">
        <v>58.625</v>
      </c>
      <c r="H61" s="9">
        <v>10</v>
      </c>
      <c r="J61" s="6">
        <f>IFERROR(Info_Camas[[#This Row],[Lineas]]/Info_Camas[[#This Row],[Cortinas]],"Pendiente")</f>
        <v>0</v>
      </c>
    </row>
    <row r="62" spans="1:10" hidden="1" x14ac:dyDescent="0.25">
      <c r="A62" t="str">
        <f>+_xlfn.CONCAT(Info_Camas[[#This Row],[Bloque]],Info_Camas[[#This Row],[Lado]],Info_Camas[[#This Row],[Cama]])</f>
        <v>01A031</v>
      </c>
      <c r="B62" t="s">
        <v>739</v>
      </c>
      <c r="C62" t="s">
        <v>14</v>
      </c>
      <c r="D62" t="s">
        <v>15</v>
      </c>
      <c r="E62" t="s">
        <v>46</v>
      </c>
      <c r="F62" t="s">
        <v>121</v>
      </c>
      <c r="G62">
        <v>58.625</v>
      </c>
      <c r="H62" s="9">
        <v>10</v>
      </c>
      <c r="J62" s="6">
        <f>IFERROR(Info_Camas[[#This Row],[Lineas]]/Info_Camas[[#This Row],[Cortinas]],"Pendiente")</f>
        <v>0</v>
      </c>
    </row>
    <row r="63" spans="1:10" hidden="1" x14ac:dyDescent="0.25">
      <c r="A63" t="str">
        <f>+_xlfn.CONCAT(Info_Camas[[#This Row],[Bloque]],Info_Camas[[#This Row],[Lado]],Info_Camas[[#This Row],[Cama]])</f>
        <v>01B031</v>
      </c>
      <c r="B63" t="s">
        <v>739</v>
      </c>
      <c r="C63" t="s">
        <v>14</v>
      </c>
      <c r="D63" t="s">
        <v>21</v>
      </c>
      <c r="E63" t="s">
        <v>46</v>
      </c>
      <c r="F63" t="s">
        <v>121</v>
      </c>
      <c r="G63">
        <v>58.625</v>
      </c>
      <c r="H63" s="9">
        <v>10</v>
      </c>
      <c r="J63" s="6">
        <f>IFERROR(Info_Camas[[#This Row],[Lineas]]/Info_Camas[[#This Row],[Cortinas]],"Pendiente")</f>
        <v>0</v>
      </c>
    </row>
    <row r="64" spans="1:10" hidden="1" x14ac:dyDescent="0.25">
      <c r="A64" t="str">
        <f>+_xlfn.CONCAT(Info_Camas[[#This Row],[Bloque]],Info_Camas[[#This Row],[Lado]],Info_Camas[[#This Row],[Cama]])</f>
        <v>01A032</v>
      </c>
      <c r="B64" t="s">
        <v>739</v>
      </c>
      <c r="C64" t="s">
        <v>14</v>
      </c>
      <c r="D64" t="s">
        <v>15</v>
      </c>
      <c r="E64" t="s">
        <v>46</v>
      </c>
      <c r="F64" t="s">
        <v>124</v>
      </c>
      <c r="G64">
        <v>58.625</v>
      </c>
      <c r="H64" s="9">
        <v>10</v>
      </c>
      <c r="J64" s="6">
        <f>IFERROR(Info_Camas[[#This Row],[Lineas]]/Info_Camas[[#This Row],[Cortinas]],"Pendiente")</f>
        <v>0</v>
      </c>
    </row>
    <row r="65" spans="1:10" hidden="1" x14ac:dyDescent="0.25">
      <c r="A65" t="str">
        <f>+_xlfn.CONCAT(Info_Camas[[#This Row],[Bloque]],Info_Camas[[#This Row],[Lado]],Info_Camas[[#This Row],[Cama]])</f>
        <v>01B032</v>
      </c>
      <c r="B65" t="s">
        <v>739</v>
      </c>
      <c r="C65" t="s">
        <v>14</v>
      </c>
      <c r="D65" t="s">
        <v>21</v>
      </c>
      <c r="E65" t="s">
        <v>46</v>
      </c>
      <c r="F65" t="s">
        <v>124</v>
      </c>
      <c r="G65">
        <v>58.625</v>
      </c>
      <c r="H65" s="9">
        <v>10</v>
      </c>
      <c r="J65" s="6">
        <f>IFERROR(Info_Camas[[#This Row],[Lineas]]/Info_Camas[[#This Row],[Cortinas]],"Pendiente")</f>
        <v>0</v>
      </c>
    </row>
    <row r="66" spans="1:10" hidden="1" x14ac:dyDescent="0.25">
      <c r="A66" t="str">
        <f>+_xlfn.CONCAT(Info_Camas[[#This Row],[Bloque]],Info_Camas[[#This Row],[Lado]],Info_Camas[[#This Row],[Cama]])</f>
        <v>01A033</v>
      </c>
      <c r="B66" t="s">
        <v>739</v>
      </c>
      <c r="C66" t="s">
        <v>14</v>
      </c>
      <c r="D66" t="s">
        <v>15</v>
      </c>
      <c r="E66" t="s">
        <v>51</v>
      </c>
      <c r="F66" t="s">
        <v>126</v>
      </c>
      <c r="G66">
        <v>58.625</v>
      </c>
      <c r="H66" s="9">
        <v>10</v>
      </c>
      <c r="J66" s="6">
        <f>IFERROR(Info_Camas[[#This Row],[Lineas]]/Info_Camas[[#This Row],[Cortinas]],"Pendiente")</f>
        <v>0</v>
      </c>
    </row>
    <row r="67" spans="1:10" hidden="1" x14ac:dyDescent="0.25">
      <c r="A67" t="str">
        <f>+_xlfn.CONCAT(Info_Camas[[#This Row],[Bloque]],Info_Camas[[#This Row],[Lado]],Info_Camas[[#This Row],[Cama]])</f>
        <v>01B033</v>
      </c>
      <c r="B67" t="s">
        <v>739</v>
      </c>
      <c r="C67" t="s">
        <v>14</v>
      </c>
      <c r="D67" t="s">
        <v>21</v>
      </c>
      <c r="E67" t="s">
        <v>51</v>
      </c>
      <c r="F67" t="s">
        <v>126</v>
      </c>
      <c r="G67">
        <v>58.625</v>
      </c>
      <c r="H67" s="9">
        <v>10</v>
      </c>
      <c r="J67" s="6">
        <f>IFERROR(Info_Camas[[#This Row],[Lineas]]/Info_Camas[[#This Row],[Cortinas]],"Pendiente")</f>
        <v>0</v>
      </c>
    </row>
    <row r="68" spans="1:10" hidden="1" x14ac:dyDescent="0.25">
      <c r="A68" t="str">
        <f>+_xlfn.CONCAT(Info_Camas[[#This Row],[Bloque]],Info_Camas[[#This Row],[Lado]],Info_Camas[[#This Row],[Cama]])</f>
        <v>01A034</v>
      </c>
      <c r="B68" t="s">
        <v>739</v>
      </c>
      <c r="C68" t="s">
        <v>14</v>
      </c>
      <c r="D68" t="s">
        <v>15</v>
      </c>
      <c r="E68" t="s">
        <v>51</v>
      </c>
      <c r="F68" t="s">
        <v>128</v>
      </c>
      <c r="G68">
        <v>58.625</v>
      </c>
      <c r="H68" s="9">
        <v>10</v>
      </c>
      <c r="J68" s="6">
        <f>IFERROR(Info_Camas[[#This Row],[Lineas]]/Info_Camas[[#This Row],[Cortinas]],"Pendiente")</f>
        <v>0</v>
      </c>
    </row>
    <row r="69" spans="1:10" hidden="1" x14ac:dyDescent="0.25">
      <c r="A69" t="str">
        <f>+_xlfn.CONCAT(Info_Camas[[#This Row],[Bloque]],Info_Camas[[#This Row],[Lado]],Info_Camas[[#This Row],[Cama]])</f>
        <v>01B034</v>
      </c>
      <c r="B69" t="s">
        <v>739</v>
      </c>
      <c r="C69" t="s">
        <v>14</v>
      </c>
      <c r="D69" t="s">
        <v>21</v>
      </c>
      <c r="E69" t="s">
        <v>51</v>
      </c>
      <c r="F69" t="s">
        <v>128</v>
      </c>
      <c r="G69">
        <v>58.625</v>
      </c>
      <c r="H69" s="9">
        <v>10</v>
      </c>
      <c r="J69" s="6">
        <f>IFERROR(Info_Camas[[#This Row],[Lineas]]/Info_Camas[[#This Row],[Cortinas]],"Pendiente")</f>
        <v>0</v>
      </c>
    </row>
    <row r="70" spans="1:10" hidden="1" x14ac:dyDescent="0.25">
      <c r="A70" t="str">
        <f>+_xlfn.CONCAT(Info_Camas[[#This Row],[Bloque]],Info_Camas[[#This Row],[Lado]],Info_Camas[[#This Row],[Cama]])</f>
        <v>01A035</v>
      </c>
      <c r="B70" t="s">
        <v>739</v>
      </c>
      <c r="C70" t="s">
        <v>14</v>
      </c>
      <c r="D70" t="s">
        <v>15</v>
      </c>
      <c r="E70" t="s">
        <v>51</v>
      </c>
      <c r="F70" t="s">
        <v>130</v>
      </c>
      <c r="G70">
        <v>58.625</v>
      </c>
      <c r="H70" s="9">
        <v>10</v>
      </c>
      <c r="J70" s="6">
        <f>IFERROR(Info_Camas[[#This Row],[Lineas]]/Info_Camas[[#This Row],[Cortinas]],"Pendiente")</f>
        <v>0</v>
      </c>
    </row>
    <row r="71" spans="1:10" hidden="1" x14ac:dyDescent="0.25">
      <c r="A71" t="str">
        <f>+_xlfn.CONCAT(Info_Camas[[#This Row],[Bloque]],Info_Camas[[#This Row],[Lado]],Info_Camas[[#This Row],[Cama]])</f>
        <v>01B035</v>
      </c>
      <c r="B71" t="s">
        <v>739</v>
      </c>
      <c r="C71" t="s">
        <v>14</v>
      </c>
      <c r="D71" t="s">
        <v>21</v>
      </c>
      <c r="E71" t="s">
        <v>51</v>
      </c>
      <c r="F71" t="s">
        <v>130</v>
      </c>
      <c r="G71">
        <v>58.625</v>
      </c>
      <c r="H71" s="9">
        <v>10</v>
      </c>
      <c r="J71" s="6">
        <f>IFERROR(Info_Camas[[#This Row],[Lineas]]/Info_Camas[[#This Row],[Cortinas]],"Pendiente")</f>
        <v>0</v>
      </c>
    </row>
    <row r="72" spans="1:10" hidden="1" x14ac:dyDescent="0.25">
      <c r="A72" t="str">
        <f>+_xlfn.CONCAT(Info_Camas[[#This Row],[Bloque]],Info_Camas[[#This Row],[Lado]],Info_Camas[[#This Row],[Cama]])</f>
        <v>01A036</v>
      </c>
      <c r="B72" t="s">
        <v>739</v>
      </c>
      <c r="C72" t="s">
        <v>14</v>
      </c>
      <c r="D72" t="s">
        <v>15</v>
      </c>
      <c r="E72" t="s">
        <v>51</v>
      </c>
      <c r="F72" t="s">
        <v>132</v>
      </c>
      <c r="G72">
        <v>29.3125</v>
      </c>
      <c r="H72" s="9">
        <v>10</v>
      </c>
      <c r="J72" s="6">
        <f>IFERROR(Info_Camas[[#This Row],[Lineas]]/Info_Camas[[#This Row],[Cortinas]],"Pendiente")</f>
        <v>0</v>
      </c>
    </row>
    <row r="73" spans="1:10" hidden="1" x14ac:dyDescent="0.25">
      <c r="A73" t="str">
        <f>+_xlfn.CONCAT(Info_Camas[[#This Row],[Bloque]],Info_Camas[[#This Row],[Lado]],Info_Camas[[#This Row],[Cama]])</f>
        <v>01B036</v>
      </c>
      <c r="B73" t="s">
        <v>739</v>
      </c>
      <c r="C73" t="s">
        <v>14</v>
      </c>
      <c r="D73" t="s">
        <v>21</v>
      </c>
      <c r="E73" t="s">
        <v>51</v>
      </c>
      <c r="F73" t="s">
        <v>132</v>
      </c>
      <c r="G73">
        <v>58.625</v>
      </c>
      <c r="H73" s="9">
        <v>10</v>
      </c>
      <c r="J73" s="6">
        <f>IFERROR(Info_Camas[[#This Row],[Lineas]]/Info_Camas[[#This Row],[Cortinas]],"Pendiente")</f>
        <v>0</v>
      </c>
    </row>
    <row r="74" spans="1:10" hidden="1" x14ac:dyDescent="0.25">
      <c r="A74" t="str">
        <f>+_xlfn.CONCAT(Info_Camas[[#This Row],[Bloque]],Info_Camas[[#This Row],[Lado]],Info_Camas[[#This Row],[Cama]])</f>
        <v>01A037</v>
      </c>
      <c r="B74" t="s">
        <v>739</v>
      </c>
      <c r="C74" t="s">
        <v>14</v>
      </c>
      <c r="D74" t="s">
        <v>15</v>
      </c>
      <c r="E74" t="s">
        <v>54</v>
      </c>
      <c r="F74" t="s">
        <v>134</v>
      </c>
      <c r="G74">
        <v>49.1569</v>
      </c>
      <c r="H74" s="9">
        <v>10</v>
      </c>
      <c r="J74" s="6">
        <f>IFERROR(Info_Camas[[#This Row],[Lineas]]/Info_Camas[[#This Row],[Cortinas]],"Pendiente")</f>
        <v>0</v>
      </c>
    </row>
    <row r="75" spans="1:10" hidden="1" x14ac:dyDescent="0.25">
      <c r="A75" t="str">
        <f>+_xlfn.CONCAT(Info_Camas[[#This Row],[Bloque]],Info_Camas[[#This Row],[Lado]],Info_Camas[[#This Row],[Cama]])</f>
        <v>01B037</v>
      </c>
      <c r="B75" t="s">
        <v>739</v>
      </c>
      <c r="C75" t="s">
        <v>14</v>
      </c>
      <c r="D75" t="s">
        <v>21</v>
      </c>
      <c r="E75" t="s">
        <v>54</v>
      </c>
      <c r="F75" t="s">
        <v>134</v>
      </c>
      <c r="G75">
        <v>58.625</v>
      </c>
      <c r="H75" s="9">
        <v>10</v>
      </c>
      <c r="J75" s="6">
        <f>IFERROR(Info_Camas[[#This Row],[Lineas]]/Info_Camas[[#This Row],[Cortinas]],"Pendiente")</f>
        <v>0</v>
      </c>
    </row>
    <row r="76" spans="1:10" hidden="1" x14ac:dyDescent="0.25">
      <c r="A76" t="str">
        <f>+_xlfn.CONCAT(Info_Camas[[#This Row],[Bloque]],Info_Camas[[#This Row],[Lado]],Info_Camas[[#This Row],[Cama]])</f>
        <v>01A038</v>
      </c>
      <c r="B76" t="s">
        <v>739</v>
      </c>
      <c r="C76" t="s">
        <v>14</v>
      </c>
      <c r="D76" t="s">
        <v>15</v>
      </c>
      <c r="E76" t="s">
        <v>54</v>
      </c>
      <c r="F76" t="s">
        <v>137</v>
      </c>
      <c r="G76">
        <v>58.625</v>
      </c>
      <c r="H76" s="9">
        <v>10</v>
      </c>
      <c r="J76" s="6">
        <f>IFERROR(Info_Camas[[#This Row],[Lineas]]/Info_Camas[[#This Row],[Cortinas]],"Pendiente")</f>
        <v>0</v>
      </c>
    </row>
    <row r="77" spans="1:10" hidden="1" x14ac:dyDescent="0.25">
      <c r="A77" t="str">
        <f>+_xlfn.CONCAT(Info_Camas[[#This Row],[Bloque]],Info_Camas[[#This Row],[Lado]],Info_Camas[[#This Row],[Cama]])</f>
        <v>01B038</v>
      </c>
      <c r="B77" t="s">
        <v>739</v>
      </c>
      <c r="C77" t="s">
        <v>14</v>
      </c>
      <c r="D77" t="s">
        <v>21</v>
      </c>
      <c r="E77" t="s">
        <v>54</v>
      </c>
      <c r="F77" t="s">
        <v>137</v>
      </c>
      <c r="G77">
        <v>58.625</v>
      </c>
      <c r="H77" s="9">
        <v>10</v>
      </c>
      <c r="J77" s="6">
        <f>IFERROR(Info_Camas[[#This Row],[Lineas]]/Info_Camas[[#This Row],[Cortinas]],"Pendiente")</f>
        <v>0</v>
      </c>
    </row>
    <row r="78" spans="1:10" hidden="1" x14ac:dyDescent="0.25">
      <c r="A78" t="str">
        <f>+_xlfn.CONCAT(Info_Camas[[#This Row],[Bloque]],Info_Camas[[#This Row],[Lado]],Info_Camas[[#This Row],[Cama]])</f>
        <v>01A039</v>
      </c>
      <c r="B78" t="s">
        <v>739</v>
      </c>
      <c r="C78" t="s">
        <v>14</v>
      </c>
      <c r="D78" t="s">
        <v>15</v>
      </c>
      <c r="E78" t="s">
        <v>54</v>
      </c>
      <c r="F78" t="s">
        <v>139</v>
      </c>
      <c r="G78">
        <v>58.625</v>
      </c>
      <c r="H78" s="9">
        <v>10</v>
      </c>
      <c r="J78" s="6">
        <f>IFERROR(Info_Camas[[#This Row],[Lineas]]/Info_Camas[[#This Row],[Cortinas]],"Pendiente")</f>
        <v>0</v>
      </c>
    </row>
    <row r="79" spans="1:10" hidden="1" x14ac:dyDescent="0.25">
      <c r="A79" t="str">
        <f>+_xlfn.CONCAT(Info_Camas[[#This Row],[Bloque]],Info_Camas[[#This Row],[Lado]],Info_Camas[[#This Row],[Cama]])</f>
        <v>01B039</v>
      </c>
      <c r="B79" t="s">
        <v>739</v>
      </c>
      <c r="C79" t="s">
        <v>14</v>
      </c>
      <c r="D79" t="s">
        <v>21</v>
      </c>
      <c r="E79" t="s">
        <v>54</v>
      </c>
      <c r="F79" t="s">
        <v>139</v>
      </c>
      <c r="G79">
        <v>58.625</v>
      </c>
      <c r="H79" s="9">
        <v>10</v>
      </c>
      <c r="J79" s="6">
        <f>IFERROR(Info_Camas[[#This Row],[Lineas]]/Info_Camas[[#This Row],[Cortinas]],"Pendiente")</f>
        <v>0</v>
      </c>
    </row>
    <row r="80" spans="1:10" hidden="1" x14ac:dyDescent="0.25">
      <c r="A80" t="str">
        <f>+_xlfn.CONCAT(Info_Camas[[#This Row],[Bloque]],Info_Camas[[#This Row],[Lado]],Info_Camas[[#This Row],[Cama]])</f>
        <v>01A040</v>
      </c>
      <c r="B80" t="s">
        <v>739</v>
      </c>
      <c r="C80" t="s">
        <v>14</v>
      </c>
      <c r="D80" t="s">
        <v>15</v>
      </c>
      <c r="E80" t="s">
        <v>54</v>
      </c>
      <c r="F80" t="s">
        <v>141</v>
      </c>
      <c r="G80">
        <v>58.625</v>
      </c>
      <c r="H80" s="9">
        <v>10</v>
      </c>
      <c r="J80" s="6">
        <f>IFERROR(Info_Camas[[#This Row],[Lineas]]/Info_Camas[[#This Row],[Cortinas]],"Pendiente")</f>
        <v>0</v>
      </c>
    </row>
    <row r="81" spans="1:10" hidden="1" x14ac:dyDescent="0.25">
      <c r="A81" t="str">
        <f>+_xlfn.CONCAT(Info_Camas[[#This Row],[Bloque]],Info_Camas[[#This Row],[Lado]],Info_Camas[[#This Row],[Cama]])</f>
        <v>01B040</v>
      </c>
      <c r="B81" t="s">
        <v>739</v>
      </c>
      <c r="C81" t="s">
        <v>14</v>
      </c>
      <c r="D81" t="s">
        <v>21</v>
      </c>
      <c r="E81" t="s">
        <v>54</v>
      </c>
      <c r="F81" t="s">
        <v>141</v>
      </c>
      <c r="G81">
        <v>58.625</v>
      </c>
      <c r="H81" s="9">
        <v>10</v>
      </c>
      <c r="J81" s="6">
        <f>IFERROR(Info_Camas[[#This Row],[Lineas]]/Info_Camas[[#This Row],[Cortinas]],"Pendiente")</f>
        <v>0</v>
      </c>
    </row>
    <row r="82" spans="1:10" hidden="1" x14ac:dyDescent="0.25">
      <c r="A82" t="str">
        <f>+_xlfn.CONCAT(Info_Camas[[#This Row],[Bloque]],Info_Camas[[#This Row],[Lado]],Info_Camas[[#This Row],[Cama]])</f>
        <v>01A041</v>
      </c>
      <c r="B82" t="s">
        <v>739</v>
      </c>
      <c r="C82" t="s">
        <v>14</v>
      </c>
      <c r="D82" t="s">
        <v>15</v>
      </c>
      <c r="E82" t="s">
        <v>57</v>
      </c>
      <c r="F82" t="s">
        <v>143</v>
      </c>
      <c r="G82">
        <v>58.625</v>
      </c>
      <c r="H82" s="9">
        <v>10</v>
      </c>
      <c r="J82" s="6">
        <f>IFERROR(Info_Camas[[#This Row],[Lineas]]/Info_Camas[[#This Row],[Cortinas]],"Pendiente")</f>
        <v>0</v>
      </c>
    </row>
    <row r="83" spans="1:10" hidden="1" x14ac:dyDescent="0.25">
      <c r="A83" t="str">
        <f>+_xlfn.CONCAT(Info_Camas[[#This Row],[Bloque]],Info_Camas[[#This Row],[Lado]],Info_Camas[[#This Row],[Cama]])</f>
        <v>01B041</v>
      </c>
      <c r="B83" t="s">
        <v>739</v>
      </c>
      <c r="C83" t="s">
        <v>14</v>
      </c>
      <c r="D83" t="s">
        <v>21</v>
      </c>
      <c r="E83" t="s">
        <v>57</v>
      </c>
      <c r="F83" t="s">
        <v>143</v>
      </c>
      <c r="G83">
        <v>58.625</v>
      </c>
      <c r="H83" s="9">
        <v>10</v>
      </c>
      <c r="J83" s="6">
        <f>IFERROR(Info_Camas[[#This Row],[Lineas]]/Info_Camas[[#This Row],[Cortinas]],"Pendiente")</f>
        <v>0</v>
      </c>
    </row>
    <row r="84" spans="1:10" hidden="1" x14ac:dyDescent="0.25">
      <c r="A84" t="str">
        <f>+_xlfn.CONCAT(Info_Camas[[#This Row],[Bloque]],Info_Camas[[#This Row],[Lado]],Info_Camas[[#This Row],[Cama]])</f>
        <v>01A042</v>
      </c>
      <c r="B84" t="s">
        <v>739</v>
      </c>
      <c r="C84" t="s">
        <v>14</v>
      </c>
      <c r="D84" t="s">
        <v>15</v>
      </c>
      <c r="E84" t="s">
        <v>57</v>
      </c>
      <c r="F84" t="s">
        <v>145</v>
      </c>
      <c r="G84">
        <v>58.625</v>
      </c>
      <c r="H84" s="9">
        <v>10</v>
      </c>
      <c r="J84" s="6">
        <f>IFERROR(Info_Camas[[#This Row],[Lineas]]/Info_Camas[[#This Row],[Cortinas]],"Pendiente")</f>
        <v>0</v>
      </c>
    </row>
    <row r="85" spans="1:10" hidden="1" x14ac:dyDescent="0.25">
      <c r="A85" t="str">
        <f>+_xlfn.CONCAT(Info_Camas[[#This Row],[Bloque]],Info_Camas[[#This Row],[Lado]],Info_Camas[[#This Row],[Cama]])</f>
        <v>01B042</v>
      </c>
      <c r="B85" t="s">
        <v>739</v>
      </c>
      <c r="C85" t="s">
        <v>14</v>
      </c>
      <c r="D85" t="s">
        <v>21</v>
      </c>
      <c r="E85" t="s">
        <v>57</v>
      </c>
      <c r="F85" t="s">
        <v>145</v>
      </c>
      <c r="G85">
        <v>58.625</v>
      </c>
      <c r="H85" s="9">
        <v>10</v>
      </c>
      <c r="J85" s="6">
        <f>IFERROR(Info_Camas[[#This Row],[Lineas]]/Info_Camas[[#This Row],[Cortinas]],"Pendiente")</f>
        <v>0</v>
      </c>
    </row>
    <row r="86" spans="1:10" hidden="1" x14ac:dyDescent="0.25">
      <c r="A86" t="str">
        <f>+_xlfn.CONCAT(Info_Camas[[#This Row],[Bloque]],Info_Camas[[#This Row],[Lado]],Info_Camas[[#This Row],[Cama]])</f>
        <v>01A043</v>
      </c>
      <c r="B86" t="s">
        <v>739</v>
      </c>
      <c r="C86" t="s">
        <v>14</v>
      </c>
      <c r="D86" t="s">
        <v>15</v>
      </c>
      <c r="E86" t="s">
        <v>57</v>
      </c>
      <c r="F86" t="s">
        <v>147</v>
      </c>
      <c r="G86">
        <v>58.625</v>
      </c>
      <c r="H86" s="9">
        <v>10</v>
      </c>
      <c r="J86" s="6">
        <f>IFERROR(Info_Camas[[#This Row],[Lineas]]/Info_Camas[[#This Row],[Cortinas]],"Pendiente")</f>
        <v>0</v>
      </c>
    </row>
    <row r="87" spans="1:10" hidden="1" x14ac:dyDescent="0.25">
      <c r="A87" t="str">
        <f>+_xlfn.CONCAT(Info_Camas[[#This Row],[Bloque]],Info_Camas[[#This Row],[Lado]],Info_Camas[[#This Row],[Cama]])</f>
        <v>01B043</v>
      </c>
      <c r="B87" t="s">
        <v>739</v>
      </c>
      <c r="C87" t="s">
        <v>14</v>
      </c>
      <c r="D87" t="s">
        <v>21</v>
      </c>
      <c r="E87" t="s">
        <v>57</v>
      </c>
      <c r="F87" t="s">
        <v>147</v>
      </c>
      <c r="G87">
        <v>58.625</v>
      </c>
      <c r="H87" s="9">
        <v>10</v>
      </c>
      <c r="J87" s="6">
        <f>IFERROR(Info_Camas[[#This Row],[Lineas]]/Info_Camas[[#This Row],[Cortinas]],"Pendiente")</f>
        <v>0</v>
      </c>
    </row>
    <row r="88" spans="1:10" hidden="1" x14ac:dyDescent="0.25">
      <c r="A88" t="str">
        <f>+_xlfn.CONCAT(Info_Camas[[#This Row],[Bloque]],Info_Camas[[#This Row],[Lado]],Info_Camas[[#This Row],[Cama]])</f>
        <v>01A044</v>
      </c>
      <c r="B88" t="s">
        <v>739</v>
      </c>
      <c r="C88" t="s">
        <v>14</v>
      </c>
      <c r="D88" t="s">
        <v>15</v>
      </c>
      <c r="E88" t="s">
        <v>57</v>
      </c>
      <c r="F88" t="s">
        <v>149</v>
      </c>
      <c r="G88">
        <v>58.625</v>
      </c>
      <c r="H88" s="9">
        <v>10</v>
      </c>
      <c r="J88" s="6">
        <f>IFERROR(Info_Camas[[#This Row],[Lineas]]/Info_Camas[[#This Row],[Cortinas]],"Pendiente")</f>
        <v>0</v>
      </c>
    </row>
    <row r="89" spans="1:10" hidden="1" x14ac:dyDescent="0.25">
      <c r="A89" t="str">
        <f>+_xlfn.CONCAT(Info_Camas[[#This Row],[Bloque]],Info_Camas[[#This Row],[Lado]],Info_Camas[[#This Row],[Cama]])</f>
        <v>01B044</v>
      </c>
      <c r="B89" t="s">
        <v>739</v>
      </c>
      <c r="C89" t="s">
        <v>14</v>
      </c>
      <c r="D89" t="s">
        <v>21</v>
      </c>
      <c r="E89" t="s">
        <v>57</v>
      </c>
      <c r="F89" t="s">
        <v>149</v>
      </c>
      <c r="G89">
        <v>58.625</v>
      </c>
      <c r="H89" s="9">
        <v>10</v>
      </c>
      <c r="J89" s="6">
        <f>IFERROR(Info_Camas[[#This Row],[Lineas]]/Info_Camas[[#This Row],[Cortinas]],"Pendiente")</f>
        <v>0</v>
      </c>
    </row>
    <row r="90" spans="1:10" hidden="1" x14ac:dyDescent="0.25">
      <c r="A90" t="str">
        <f>+_xlfn.CONCAT(Info_Camas[[#This Row],[Bloque]],Info_Camas[[#This Row],[Lado]],Info_Camas[[#This Row],[Cama]])</f>
        <v>01A045</v>
      </c>
      <c r="B90" t="s">
        <v>739</v>
      </c>
      <c r="C90" t="s">
        <v>14</v>
      </c>
      <c r="D90" t="s">
        <v>15</v>
      </c>
      <c r="E90" t="s">
        <v>61</v>
      </c>
      <c r="F90" t="s">
        <v>151</v>
      </c>
      <c r="G90">
        <v>58.625</v>
      </c>
      <c r="H90" s="9">
        <v>10</v>
      </c>
      <c r="J90" s="6">
        <f>IFERROR(Info_Camas[[#This Row],[Lineas]]/Info_Camas[[#This Row],[Cortinas]],"Pendiente")</f>
        <v>0</v>
      </c>
    </row>
    <row r="91" spans="1:10" hidden="1" x14ac:dyDescent="0.25">
      <c r="A91" t="str">
        <f>+_xlfn.CONCAT(Info_Camas[[#This Row],[Bloque]],Info_Camas[[#This Row],[Lado]],Info_Camas[[#This Row],[Cama]])</f>
        <v>01B045</v>
      </c>
      <c r="B91" t="s">
        <v>739</v>
      </c>
      <c r="C91" t="s">
        <v>14</v>
      </c>
      <c r="D91" t="s">
        <v>21</v>
      </c>
      <c r="E91" t="s">
        <v>61</v>
      </c>
      <c r="F91" t="s">
        <v>151</v>
      </c>
      <c r="G91">
        <v>58.625</v>
      </c>
      <c r="H91" s="9">
        <v>10</v>
      </c>
      <c r="J91" s="6">
        <f>IFERROR(Info_Camas[[#This Row],[Lineas]]/Info_Camas[[#This Row],[Cortinas]],"Pendiente")</f>
        <v>0</v>
      </c>
    </row>
    <row r="92" spans="1:10" hidden="1" x14ac:dyDescent="0.25">
      <c r="A92" t="str">
        <f>+_xlfn.CONCAT(Info_Camas[[#This Row],[Bloque]],Info_Camas[[#This Row],[Lado]],Info_Camas[[#This Row],[Cama]])</f>
        <v>01A046</v>
      </c>
      <c r="B92" t="s">
        <v>739</v>
      </c>
      <c r="C92" t="s">
        <v>14</v>
      </c>
      <c r="D92" t="s">
        <v>15</v>
      </c>
      <c r="E92" t="s">
        <v>61</v>
      </c>
      <c r="F92" t="s">
        <v>153</v>
      </c>
      <c r="G92">
        <v>58.625</v>
      </c>
      <c r="H92" s="9">
        <v>10</v>
      </c>
      <c r="J92" s="6">
        <f>IFERROR(Info_Camas[[#This Row],[Lineas]]/Info_Camas[[#This Row],[Cortinas]],"Pendiente")</f>
        <v>0</v>
      </c>
    </row>
    <row r="93" spans="1:10" hidden="1" x14ac:dyDescent="0.25">
      <c r="A93" t="str">
        <f>+_xlfn.CONCAT(Info_Camas[[#This Row],[Bloque]],Info_Camas[[#This Row],[Lado]],Info_Camas[[#This Row],[Cama]])</f>
        <v>01B046</v>
      </c>
      <c r="B93" t="s">
        <v>739</v>
      </c>
      <c r="C93" t="s">
        <v>14</v>
      </c>
      <c r="D93" t="s">
        <v>21</v>
      </c>
      <c r="E93" t="s">
        <v>61</v>
      </c>
      <c r="F93" t="s">
        <v>153</v>
      </c>
      <c r="G93">
        <v>58.625</v>
      </c>
      <c r="H93" s="9">
        <v>10</v>
      </c>
      <c r="J93" s="6">
        <f>IFERROR(Info_Camas[[#This Row],[Lineas]]/Info_Camas[[#This Row],[Cortinas]],"Pendiente")</f>
        <v>0</v>
      </c>
    </row>
    <row r="94" spans="1:10" hidden="1" x14ac:dyDescent="0.25">
      <c r="A94" t="str">
        <f>+_xlfn.CONCAT(Info_Camas[[#This Row],[Bloque]],Info_Camas[[#This Row],[Lado]],Info_Camas[[#This Row],[Cama]])</f>
        <v>01A047</v>
      </c>
      <c r="B94" t="s">
        <v>739</v>
      </c>
      <c r="C94" t="s">
        <v>14</v>
      </c>
      <c r="D94" t="s">
        <v>15</v>
      </c>
      <c r="E94" t="s">
        <v>61</v>
      </c>
      <c r="F94" t="s">
        <v>155</v>
      </c>
      <c r="G94">
        <v>58.625</v>
      </c>
      <c r="H94" s="9">
        <v>10</v>
      </c>
      <c r="J94" s="6">
        <f>IFERROR(Info_Camas[[#This Row],[Lineas]]/Info_Camas[[#This Row],[Cortinas]],"Pendiente")</f>
        <v>0</v>
      </c>
    </row>
    <row r="95" spans="1:10" hidden="1" x14ac:dyDescent="0.25">
      <c r="A95" t="str">
        <f>+_xlfn.CONCAT(Info_Camas[[#This Row],[Bloque]],Info_Camas[[#This Row],[Lado]],Info_Camas[[#This Row],[Cama]])</f>
        <v>01B047</v>
      </c>
      <c r="B95" t="s">
        <v>739</v>
      </c>
      <c r="C95" t="s">
        <v>14</v>
      </c>
      <c r="D95" t="s">
        <v>21</v>
      </c>
      <c r="E95" t="s">
        <v>61</v>
      </c>
      <c r="F95" t="s">
        <v>155</v>
      </c>
      <c r="G95">
        <v>58.625</v>
      </c>
      <c r="H95" s="9">
        <v>10</v>
      </c>
      <c r="J95" s="6">
        <f>IFERROR(Info_Camas[[#This Row],[Lineas]]/Info_Camas[[#This Row],[Cortinas]],"Pendiente")</f>
        <v>0</v>
      </c>
    </row>
    <row r="96" spans="1:10" hidden="1" x14ac:dyDescent="0.25">
      <c r="A96" t="str">
        <f>+_xlfn.CONCAT(Info_Camas[[#This Row],[Bloque]],Info_Camas[[#This Row],[Lado]],Info_Camas[[#This Row],[Cama]])</f>
        <v>01A048</v>
      </c>
      <c r="B96" t="s">
        <v>739</v>
      </c>
      <c r="C96" t="s">
        <v>14</v>
      </c>
      <c r="D96" t="s">
        <v>15</v>
      </c>
      <c r="E96" t="s">
        <v>61</v>
      </c>
      <c r="F96" t="s">
        <v>158</v>
      </c>
      <c r="G96">
        <v>58.625</v>
      </c>
      <c r="H96" s="9">
        <v>10</v>
      </c>
      <c r="J96" s="6">
        <f>IFERROR(Info_Camas[[#This Row],[Lineas]]/Info_Camas[[#This Row],[Cortinas]],"Pendiente")</f>
        <v>0</v>
      </c>
    </row>
    <row r="97" spans="1:10" hidden="1" x14ac:dyDescent="0.25">
      <c r="A97" t="str">
        <f>+_xlfn.CONCAT(Info_Camas[[#This Row],[Bloque]],Info_Camas[[#This Row],[Lado]],Info_Camas[[#This Row],[Cama]])</f>
        <v>01B048</v>
      </c>
      <c r="B97" t="s">
        <v>739</v>
      </c>
      <c r="C97" t="s">
        <v>14</v>
      </c>
      <c r="D97" t="s">
        <v>21</v>
      </c>
      <c r="E97" t="s">
        <v>61</v>
      </c>
      <c r="F97" t="s">
        <v>158</v>
      </c>
      <c r="G97">
        <v>58.625</v>
      </c>
      <c r="H97" s="9">
        <v>10</v>
      </c>
      <c r="J97" s="6">
        <f>IFERROR(Info_Camas[[#This Row],[Lineas]]/Info_Camas[[#This Row],[Cortinas]],"Pendiente")</f>
        <v>0</v>
      </c>
    </row>
    <row r="98" spans="1:10" hidden="1" x14ac:dyDescent="0.25">
      <c r="A98" t="str">
        <f>+_xlfn.CONCAT(Info_Camas[[#This Row],[Bloque]],Info_Camas[[#This Row],[Lado]],Info_Camas[[#This Row],[Cama]])</f>
        <v>01A049</v>
      </c>
      <c r="B98" t="s">
        <v>739</v>
      </c>
      <c r="C98" t="s">
        <v>14</v>
      </c>
      <c r="D98" t="s">
        <v>15</v>
      </c>
      <c r="E98" t="s">
        <v>64</v>
      </c>
      <c r="F98" t="s">
        <v>161</v>
      </c>
      <c r="G98">
        <v>58.625</v>
      </c>
      <c r="H98" s="9">
        <v>10</v>
      </c>
      <c r="J98" s="6">
        <f>IFERROR(Info_Camas[[#This Row],[Lineas]]/Info_Camas[[#This Row],[Cortinas]],"Pendiente")</f>
        <v>0</v>
      </c>
    </row>
    <row r="99" spans="1:10" hidden="1" x14ac:dyDescent="0.25">
      <c r="A99" t="str">
        <f>+_xlfn.CONCAT(Info_Camas[[#This Row],[Bloque]],Info_Camas[[#This Row],[Lado]],Info_Camas[[#This Row],[Cama]])</f>
        <v>01B049</v>
      </c>
      <c r="B99" t="s">
        <v>739</v>
      </c>
      <c r="C99" t="s">
        <v>14</v>
      </c>
      <c r="D99" t="s">
        <v>21</v>
      </c>
      <c r="E99" t="s">
        <v>64</v>
      </c>
      <c r="F99" t="s">
        <v>161</v>
      </c>
      <c r="G99">
        <v>58.625</v>
      </c>
      <c r="H99" s="9">
        <v>10</v>
      </c>
      <c r="J99" s="6">
        <f>IFERROR(Info_Camas[[#This Row],[Lineas]]/Info_Camas[[#This Row],[Cortinas]],"Pendiente")</f>
        <v>0</v>
      </c>
    </row>
    <row r="100" spans="1:10" hidden="1" x14ac:dyDescent="0.25">
      <c r="A100" t="str">
        <f>+_xlfn.CONCAT(Info_Camas[[#This Row],[Bloque]],Info_Camas[[#This Row],[Lado]],Info_Camas[[#This Row],[Cama]])</f>
        <v>01A050</v>
      </c>
      <c r="B100" t="s">
        <v>739</v>
      </c>
      <c r="C100" t="s">
        <v>14</v>
      </c>
      <c r="D100" t="s">
        <v>15</v>
      </c>
      <c r="E100" t="s">
        <v>64</v>
      </c>
      <c r="F100" t="s">
        <v>163</v>
      </c>
      <c r="G100">
        <v>58.625</v>
      </c>
      <c r="H100" s="9">
        <v>10</v>
      </c>
      <c r="J100" s="6">
        <f>IFERROR(Info_Camas[[#This Row],[Lineas]]/Info_Camas[[#This Row],[Cortinas]],"Pendiente")</f>
        <v>0</v>
      </c>
    </row>
    <row r="101" spans="1:10" hidden="1" x14ac:dyDescent="0.25">
      <c r="A101" t="str">
        <f>+_xlfn.CONCAT(Info_Camas[[#This Row],[Bloque]],Info_Camas[[#This Row],[Lado]],Info_Camas[[#This Row],[Cama]])</f>
        <v>01B050</v>
      </c>
      <c r="B101" t="s">
        <v>739</v>
      </c>
      <c r="C101" t="s">
        <v>14</v>
      </c>
      <c r="D101" t="s">
        <v>21</v>
      </c>
      <c r="E101" t="s">
        <v>64</v>
      </c>
      <c r="F101" t="s">
        <v>163</v>
      </c>
      <c r="G101">
        <v>58.625</v>
      </c>
      <c r="H101" s="9">
        <v>10</v>
      </c>
      <c r="J101" s="6">
        <f>IFERROR(Info_Camas[[#This Row],[Lineas]]/Info_Camas[[#This Row],[Cortinas]],"Pendiente")</f>
        <v>0</v>
      </c>
    </row>
    <row r="102" spans="1:10" hidden="1" x14ac:dyDescent="0.25">
      <c r="A102" t="str">
        <f>+_xlfn.CONCAT(Info_Camas[[#This Row],[Bloque]],Info_Camas[[#This Row],[Lado]],Info_Camas[[#This Row],[Cama]])</f>
        <v>01A051</v>
      </c>
      <c r="B102" t="s">
        <v>739</v>
      </c>
      <c r="C102" t="s">
        <v>14</v>
      </c>
      <c r="D102" t="s">
        <v>15</v>
      </c>
      <c r="E102" t="s">
        <v>64</v>
      </c>
      <c r="F102" t="s">
        <v>165</v>
      </c>
      <c r="G102">
        <v>57.1571</v>
      </c>
      <c r="H102" s="9">
        <v>10</v>
      </c>
      <c r="J102" s="6">
        <f>IFERROR(Info_Camas[[#This Row],[Lineas]]/Info_Camas[[#This Row],[Cortinas]],"Pendiente")</f>
        <v>0</v>
      </c>
    </row>
    <row r="103" spans="1:10" hidden="1" x14ac:dyDescent="0.25">
      <c r="A103" t="str">
        <f>+_xlfn.CONCAT(Info_Camas[[#This Row],[Bloque]],Info_Camas[[#This Row],[Lado]],Info_Camas[[#This Row],[Cama]])</f>
        <v>01B051</v>
      </c>
      <c r="B103" t="s">
        <v>739</v>
      </c>
      <c r="C103" t="s">
        <v>14</v>
      </c>
      <c r="D103" t="s">
        <v>21</v>
      </c>
      <c r="E103" t="s">
        <v>64</v>
      </c>
      <c r="F103" t="s">
        <v>165</v>
      </c>
      <c r="G103">
        <v>58.625</v>
      </c>
      <c r="H103" s="9">
        <v>10</v>
      </c>
      <c r="J103" s="6">
        <f>IFERROR(Info_Camas[[#This Row],[Lineas]]/Info_Camas[[#This Row],[Cortinas]],"Pendiente")</f>
        <v>0</v>
      </c>
    </row>
    <row r="104" spans="1:10" hidden="1" x14ac:dyDescent="0.25">
      <c r="A104" t="str">
        <f>+_xlfn.CONCAT(Info_Camas[[#This Row],[Bloque]],Info_Camas[[#This Row],[Lado]],Info_Camas[[#This Row],[Cama]])</f>
        <v>01A052</v>
      </c>
      <c r="B104" t="s">
        <v>739</v>
      </c>
      <c r="C104" t="s">
        <v>14</v>
      </c>
      <c r="D104" t="s">
        <v>15</v>
      </c>
      <c r="E104" t="s">
        <v>64</v>
      </c>
      <c r="F104" t="s">
        <v>167</v>
      </c>
      <c r="G104">
        <v>58.625</v>
      </c>
      <c r="H104" s="9">
        <v>10</v>
      </c>
      <c r="J104" s="6">
        <f>IFERROR(Info_Camas[[#This Row],[Lineas]]/Info_Camas[[#This Row],[Cortinas]],"Pendiente")</f>
        <v>0</v>
      </c>
    </row>
    <row r="105" spans="1:10" hidden="1" x14ac:dyDescent="0.25">
      <c r="A105" t="str">
        <f>+_xlfn.CONCAT(Info_Camas[[#This Row],[Bloque]],Info_Camas[[#This Row],[Lado]],Info_Camas[[#This Row],[Cama]])</f>
        <v>01B052</v>
      </c>
      <c r="B105" t="s">
        <v>739</v>
      </c>
      <c r="C105" t="s">
        <v>14</v>
      </c>
      <c r="D105" t="s">
        <v>21</v>
      </c>
      <c r="E105" t="s">
        <v>64</v>
      </c>
      <c r="F105" t="s">
        <v>167</v>
      </c>
      <c r="G105">
        <v>29.3125</v>
      </c>
      <c r="H105" s="9">
        <v>10</v>
      </c>
      <c r="J105" s="6">
        <f>IFERROR(Info_Camas[[#This Row],[Lineas]]/Info_Camas[[#This Row],[Cortinas]],"Pendiente")</f>
        <v>0</v>
      </c>
    </row>
    <row r="106" spans="1:10" hidden="1" x14ac:dyDescent="0.25">
      <c r="A106" t="str">
        <f>+_xlfn.CONCAT(Info_Camas[[#This Row],[Bloque]],Info_Camas[[#This Row],[Lado]],Info_Camas[[#This Row],[Cama]])</f>
        <v>01A053</v>
      </c>
      <c r="B106" t="s">
        <v>739</v>
      </c>
      <c r="C106" t="s">
        <v>14</v>
      </c>
      <c r="D106" t="s">
        <v>15</v>
      </c>
      <c r="E106" t="s">
        <v>67</v>
      </c>
      <c r="F106" t="s">
        <v>169</v>
      </c>
      <c r="G106">
        <v>58.625</v>
      </c>
      <c r="H106" s="9">
        <v>10</v>
      </c>
      <c r="J106" s="6">
        <f>IFERROR(Info_Camas[[#This Row],[Lineas]]/Info_Camas[[#This Row],[Cortinas]],"Pendiente")</f>
        <v>0</v>
      </c>
    </row>
    <row r="107" spans="1:10" hidden="1" x14ac:dyDescent="0.25">
      <c r="A107" t="str">
        <f>+_xlfn.CONCAT(Info_Camas[[#This Row],[Bloque]],Info_Camas[[#This Row],[Lado]],Info_Camas[[#This Row],[Cama]])</f>
        <v>01B053</v>
      </c>
      <c r="B107" t="s">
        <v>739</v>
      </c>
      <c r="C107" t="s">
        <v>14</v>
      </c>
      <c r="D107" t="s">
        <v>21</v>
      </c>
      <c r="E107" t="s">
        <v>67</v>
      </c>
      <c r="F107" t="s">
        <v>169</v>
      </c>
      <c r="G107">
        <v>58.625</v>
      </c>
      <c r="H107" s="9">
        <v>10</v>
      </c>
      <c r="J107" s="6">
        <f>IFERROR(Info_Camas[[#This Row],[Lineas]]/Info_Camas[[#This Row],[Cortinas]],"Pendiente")</f>
        <v>0</v>
      </c>
    </row>
    <row r="108" spans="1:10" hidden="1" x14ac:dyDescent="0.25">
      <c r="A108" t="str">
        <f>+_xlfn.CONCAT(Info_Camas[[#This Row],[Bloque]],Info_Camas[[#This Row],[Lado]],Info_Camas[[#This Row],[Cama]])</f>
        <v>01A054</v>
      </c>
      <c r="B108" t="s">
        <v>739</v>
      </c>
      <c r="C108" t="s">
        <v>14</v>
      </c>
      <c r="D108" t="s">
        <v>15</v>
      </c>
      <c r="E108" t="s">
        <v>67</v>
      </c>
      <c r="F108" t="s">
        <v>171</v>
      </c>
      <c r="G108">
        <v>58.625</v>
      </c>
      <c r="H108" s="9">
        <v>10</v>
      </c>
      <c r="J108" s="6">
        <f>IFERROR(Info_Camas[[#This Row],[Lineas]]/Info_Camas[[#This Row],[Cortinas]],"Pendiente")</f>
        <v>0</v>
      </c>
    </row>
    <row r="109" spans="1:10" hidden="1" x14ac:dyDescent="0.25">
      <c r="A109" t="str">
        <f>+_xlfn.CONCAT(Info_Camas[[#This Row],[Bloque]],Info_Camas[[#This Row],[Lado]],Info_Camas[[#This Row],[Cama]])</f>
        <v>01B054</v>
      </c>
      <c r="B109" t="s">
        <v>739</v>
      </c>
      <c r="C109" t="s">
        <v>14</v>
      </c>
      <c r="D109" t="s">
        <v>21</v>
      </c>
      <c r="E109" t="s">
        <v>67</v>
      </c>
      <c r="F109" t="s">
        <v>171</v>
      </c>
      <c r="G109">
        <v>58.625</v>
      </c>
      <c r="H109" s="9">
        <v>10</v>
      </c>
      <c r="J109" s="6">
        <f>IFERROR(Info_Camas[[#This Row],[Lineas]]/Info_Camas[[#This Row],[Cortinas]],"Pendiente")</f>
        <v>0</v>
      </c>
    </row>
    <row r="110" spans="1:10" hidden="1" x14ac:dyDescent="0.25">
      <c r="A110" t="str">
        <f>+_xlfn.CONCAT(Info_Camas[[#This Row],[Bloque]],Info_Camas[[#This Row],[Lado]],Info_Camas[[#This Row],[Cama]])</f>
        <v>01A055</v>
      </c>
      <c r="B110" t="s">
        <v>739</v>
      </c>
      <c r="C110" t="s">
        <v>14</v>
      </c>
      <c r="D110" t="s">
        <v>15</v>
      </c>
      <c r="E110" t="s">
        <v>67</v>
      </c>
      <c r="F110" t="s">
        <v>173</v>
      </c>
      <c r="G110">
        <v>58.625</v>
      </c>
      <c r="H110" s="9">
        <v>10</v>
      </c>
      <c r="J110" s="6">
        <f>IFERROR(Info_Camas[[#This Row],[Lineas]]/Info_Camas[[#This Row],[Cortinas]],"Pendiente")</f>
        <v>0</v>
      </c>
    </row>
    <row r="111" spans="1:10" hidden="1" x14ac:dyDescent="0.25">
      <c r="A111" t="str">
        <f>+_xlfn.CONCAT(Info_Camas[[#This Row],[Bloque]],Info_Camas[[#This Row],[Lado]],Info_Camas[[#This Row],[Cama]])</f>
        <v>01B055</v>
      </c>
      <c r="B111" t="s">
        <v>739</v>
      </c>
      <c r="C111" t="s">
        <v>14</v>
      </c>
      <c r="D111" t="s">
        <v>21</v>
      </c>
      <c r="E111" t="s">
        <v>67</v>
      </c>
      <c r="F111" t="s">
        <v>173</v>
      </c>
      <c r="G111">
        <v>58.625</v>
      </c>
      <c r="H111" s="9">
        <v>10</v>
      </c>
      <c r="J111" s="6">
        <f>IFERROR(Info_Camas[[#This Row],[Lineas]]/Info_Camas[[#This Row],[Cortinas]],"Pendiente")</f>
        <v>0</v>
      </c>
    </row>
    <row r="112" spans="1:10" hidden="1" x14ac:dyDescent="0.25">
      <c r="A112" t="str">
        <f>+_xlfn.CONCAT(Info_Camas[[#This Row],[Bloque]],Info_Camas[[#This Row],[Lado]],Info_Camas[[#This Row],[Cama]])</f>
        <v>01A056</v>
      </c>
      <c r="B112" t="s">
        <v>739</v>
      </c>
      <c r="C112" t="s">
        <v>14</v>
      </c>
      <c r="D112" t="s">
        <v>15</v>
      </c>
      <c r="E112" t="s">
        <v>67</v>
      </c>
      <c r="F112" t="s">
        <v>175</v>
      </c>
      <c r="G112">
        <v>58.625</v>
      </c>
      <c r="H112" s="9">
        <v>10</v>
      </c>
      <c r="J112" s="6">
        <f>IFERROR(Info_Camas[[#This Row],[Lineas]]/Info_Camas[[#This Row],[Cortinas]],"Pendiente")</f>
        <v>0</v>
      </c>
    </row>
    <row r="113" spans="1:10" hidden="1" x14ac:dyDescent="0.25">
      <c r="A113" t="str">
        <f>+_xlfn.CONCAT(Info_Camas[[#This Row],[Bloque]],Info_Camas[[#This Row],[Lado]],Info_Camas[[#This Row],[Cama]])</f>
        <v>01B056</v>
      </c>
      <c r="B113" t="s">
        <v>739</v>
      </c>
      <c r="C113" t="s">
        <v>14</v>
      </c>
      <c r="D113" t="s">
        <v>21</v>
      </c>
      <c r="E113" t="s">
        <v>67</v>
      </c>
      <c r="F113" t="s">
        <v>175</v>
      </c>
      <c r="G113">
        <v>58.625</v>
      </c>
      <c r="H113" s="9">
        <v>10</v>
      </c>
      <c r="J113" s="6">
        <f>IFERROR(Info_Camas[[#This Row],[Lineas]]/Info_Camas[[#This Row],[Cortinas]],"Pendiente")</f>
        <v>0</v>
      </c>
    </row>
    <row r="114" spans="1:10" hidden="1" x14ac:dyDescent="0.25">
      <c r="A114" t="str">
        <f>+_xlfn.CONCAT(Info_Camas[[#This Row],[Bloque]],Info_Camas[[#This Row],[Lado]],Info_Camas[[#This Row],[Cama]])</f>
        <v>01A057</v>
      </c>
      <c r="B114" t="s">
        <v>739</v>
      </c>
      <c r="C114" t="s">
        <v>14</v>
      </c>
      <c r="D114" t="s">
        <v>15</v>
      </c>
      <c r="E114" t="s">
        <v>71</v>
      </c>
      <c r="F114" t="s">
        <v>177</v>
      </c>
      <c r="G114">
        <v>58.625</v>
      </c>
      <c r="H114" s="9">
        <v>10</v>
      </c>
      <c r="J114" s="6">
        <f>IFERROR(Info_Camas[[#This Row],[Lineas]]/Info_Camas[[#This Row],[Cortinas]],"Pendiente")</f>
        <v>0</v>
      </c>
    </row>
    <row r="115" spans="1:10" hidden="1" x14ac:dyDescent="0.25">
      <c r="A115" t="str">
        <f>+_xlfn.CONCAT(Info_Camas[[#This Row],[Bloque]],Info_Camas[[#This Row],[Lado]],Info_Camas[[#This Row],[Cama]])</f>
        <v>01B057</v>
      </c>
      <c r="B115" t="s">
        <v>739</v>
      </c>
      <c r="C115" t="s">
        <v>14</v>
      </c>
      <c r="D115" t="s">
        <v>21</v>
      </c>
      <c r="E115" t="s">
        <v>71</v>
      </c>
      <c r="F115" t="s">
        <v>177</v>
      </c>
      <c r="G115">
        <v>58.625</v>
      </c>
      <c r="H115" s="9">
        <v>10</v>
      </c>
      <c r="J115" s="6">
        <f>IFERROR(Info_Camas[[#This Row],[Lineas]]/Info_Camas[[#This Row],[Cortinas]],"Pendiente")</f>
        <v>0</v>
      </c>
    </row>
    <row r="116" spans="1:10" hidden="1" x14ac:dyDescent="0.25">
      <c r="A116" t="str">
        <f>+_xlfn.CONCAT(Info_Camas[[#This Row],[Bloque]],Info_Camas[[#This Row],[Lado]],Info_Camas[[#This Row],[Cama]])</f>
        <v>01A058</v>
      </c>
      <c r="B116" t="s">
        <v>739</v>
      </c>
      <c r="C116" t="s">
        <v>14</v>
      </c>
      <c r="D116" t="s">
        <v>15</v>
      </c>
      <c r="E116" t="s">
        <v>71</v>
      </c>
      <c r="F116" t="s">
        <v>179</v>
      </c>
      <c r="G116">
        <v>58.625</v>
      </c>
      <c r="H116" s="9">
        <v>10</v>
      </c>
      <c r="J116" s="6">
        <f>IFERROR(Info_Camas[[#This Row],[Lineas]]/Info_Camas[[#This Row],[Cortinas]],"Pendiente")</f>
        <v>0</v>
      </c>
    </row>
    <row r="117" spans="1:10" hidden="1" x14ac:dyDescent="0.25">
      <c r="A117" t="str">
        <f>+_xlfn.CONCAT(Info_Camas[[#This Row],[Bloque]],Info_Camas[[#This Row],[Lado]],Info_Camas[[#This Row],[Cama]])</f>
        <v>01B058</v>
      </c>
      <c r="B117" t="s">
        <v>739</v>
      </c>
      <c r="C117" t="s">
        <v>14</v>
      </c>
      <c r="D117" t="s">
        <v>21</v>
      </c>
      <c r="E117" t="s">
        <v>71</v>
      </c>
      <c r="F117" t="s">
        <v>179</v>
      </c>
      <c r="G117">
        <v>2.9358</v>
      </c>
      <c r="H117" s="9">
        <v>10</v>
      </c>
      <c r="J117" s="6">
        <f>IFERROR(Info_Camas[[#This Row],[Lineas]]/Info_Camas[[#This Row],[Cortinas]],"Pendiente")</f>
        <v>0</v>
      </c>
    </row>
    <row r="118" spans="1:10" hidden="1" x14ac:dyDescent="0.25">
      <c r="A118" t="str">
        <f>+_xlfn.CONCAT(Info_Camas[[#This Row],[Bloque]],Info_Camas[[#This Row],[Lado]],Info_Camas[[#This Row],[Cama]])</f>
        <v>01A059</v>
      </c>
      <c r="B118" t="s">
        <v>739</v>
      </c>
      <c r="C118" t="s">
        <v>14</v>
      </c>
      <c r="D118" t="s">
        <v>15</v>
      </c>
      <c r="E118" t="s">
        <v>71</v>
      </c>
      <c r="F118" t="s">
        <v>182</v>
      </c>
      <c r="G118">
        <v>17.5898</v>
      </c>
      <c r="H118" s="9">
        <v>10</v>
      </c>
      <c r="J118" s="6">
        <f>IFERROR(Info_Camas[[#This Row],[Lineas]]/Info_Camas[[#This Row],[Cortinas]],"Pendiente")</f>
        <v>0</v>
      </c>
    </row>
    <row r="119" spans="1:10" hidden="1" x14ac:dyDescent="0.25">
      <c r="A119" t="str">
        <f>+_xlfn.CONCAT(Info_Camas[[#This Row],[Bloque]],Info_Camas[[#This Row],[Lado]],Info_Camas[[#This Row],[Cama]])</f>
        <v>01B059</v>
      </c>
      <c r="B119" t="s">
        <v>739</v>
      </c>
      <c r="C119" t="s">
        <v>14</v>
      </c>
      <c r="D119" t="s">
        <v>21</v>
      </c>
      <c r="E119" t="s">
        <v>71</v>
      </c>
      <c r="F119" t="s">
        <v>182</v>
      </c>
      <c r="G119">
        <v>58.625</v>
      </c>
      <c r="H119" s="9">
        <v>10</v>
      </c>
      <c r="I119" s="9">
        <v>213</v>
      </c>
      <c r="J119" s="6">
        <f>IFERROR(Info_Camas[[#This Row],[Lineas]]/Info_Camas[[#This Row],[Cortinas]],"Pendiente")</f>
        <v>21.3</v>
      </c>
    </row>
    <row r="120" spans="1:10" hidden="1" x14ac:dyDescent="0.25">
      <c r="A120" t="str">
        <f>+_xlfn.CONCAT(Info_Camas[[#This Row],[Bloque]],Info_Camas[[#This Row],[Lado]],Info_Camas[[#This Row],[Cama]])</f>
        <v>01A060</v>
      </c>
      <c r="B120" t="s">
        <v>739</v>
      </c>
      <c r="C120" t="s">
        <v>14</v>
      </c>
      <c r="D120" t="s">
        <v>15</v>
      </c>
      <c r="E120" t="s">
        <v>71</v>
      </c>
      <c r="F120" t="s">
        <v>184</v>
      </c>
      <c r="G120">
        <v>58.625</v>
      </c>
      <c r="H120" s="9">
        <v>10</v>
      </c>
      <c r="J120" s="6">
        <f>IFERROR(Info_Camas[[#This Row],[Lineas]]/Info_Camas[[#This Row],[Cortinas]],"Pendiente")</f>
        <v>0</v>
      </c>
    </row>
    <row r="121" spans="1:10" hidden="1" x14ac:dyDescent="0.25">
      <c r="A121" t="str">
        <f>+_xlfn.CONCAT(Info_Camas[[#This Row],[Bloque]],Info_Camas[[#This Row],[Lado]],Info_Camas[[#This Row],[Cama]])</f>
        <v>01B060</v>
      </c>
      <c r="B121" t="s">
        <v>739</v>
      </c>
      <c r="C121" t="s">
        <v>14</v>
      </c>
      <c r="D121" t="s">
        <v>21</v>
      </c>
      <c r="E121" t="s">
        <v>71</v>
      </c>
      <c r="F121" t="s">
        <v>184</v>
      </c>
      <c r="G121">
        <v>58.625</v>
      </c>
      <c r="H121" s="9">
        <v>10</v>
      </c>
      <c r="I121" s="9">
        <v>213</v>
      </c>
      <c r="J121" s="6">
        <f>IFERROR(Info_Camas[[#This Row],[Lineas]]/Info_Camas[[#This Row],[Cortinas]],"Pendiente")</f>
        <v>21.3</v>
      </c>
    </row>
    <row r="122" spans="1:10" hidden="1" x14ac:dyDescent="0.25">
      <c r="A122" t="str">
        <f>+_xlfn.CONCAT(Info_Camas[[#This Row],[Bloque]],Info_Camas[[#This Row],[Lado]],Info_Camas[[#This Row],[Cama]])</f>
        <v>01A061</v>
      </c>
      <c r="B122" t="s">
        <v>739</v>
      </c>
      <c r="C122" t="s">
        <v>14</v>
      </c>
      <c r="D122" t="s">
        <v>15</v>
      </c>
      <c r="E122" t="s">
        <v>74</v>
      </c>
      <c r="F122" t="s">
        <v>186</v>
      </c>
      <c r="G122">
        <v>58.625</v>
      </c>
      <c r="H122" s="9">
        <v>10</v>
      </c>
      <c r="I122" s="9">
        <v>214</v>
      </c>
      <c r="J122" s="6">
        <f>IFERROR(Info_Camas[[#This Row],[Lineas]]/Info_Camas[[#This Row],[Cortinas]],"Pendiente")</f>
        <v>21.4</v>
      </c>
    </row>
    <row r="123" spans="1:10" hidden="1" x14ac:dyDescent="0.25">
      <c r="A123" t="str">
        <f>+_xlfn.CONCAT(Info_Camas[[#This Row],[Bloque]],Info_Camas[[#This Row],[Lado]],Info_Camas[[#This Row],[Cama]])</f>
        <v>01B061</v>
      </c>
      <c r="B123" t="s">
        <v>739</v>
      </c>
      <c r="C123" t="s">
        <v>14</v>
      </c>
      <c r="D123" t="s">
        <v>21</v>
      </c>
      <c r="E123" t="s">
        <v>74</v>
      </c>
      <c r="F123" t="s">
        <v>186</v>
      </c>
      <c r="G123">
        <v>58.625</v>
      </c>
      <c r="H123" s="9">
        <v>10</v>
      </c>
      <c r="I123" s="9">
        <v>216</v>
      </c>
      <c r="J123" s="6">
        <f>IFERROR(Info_Camas[[#This Row],[Lineas]]/Info_Camas[[#This Row],[Cortinas]],"Pendiente")</f>
        <v>21.6</v>
      </c>
    </row>
    <row r="124" spans="1:10" hidden="1" x14ac:dyDescent="0.25">
      <c r="A124" t="str">
        <f>+_xlfn.CONCAT(Info_Camas[[#This Row],[Bloque]],Info_Camas[[#This Row],[Lado]],Info_Camas[[#This Row],[Cama]])</f>
        <v>01A062</v>
      </c>
      <c r="B124" t="s">
        <v>739</v>
      </c>
      <c r="C124" t="s">
        <v>14</v>
      </c>
      <c r="D124" t="s">
        <v>15</v>
      </c>
      <c r="E124" t="s">
        <v>74</v>
      </c>
      <c r="F124" t="s">
        <v>188</v>
      </c>
      <c r="G124">
        <v>58.625</v>
      </c>
      <c r="H124" s="9">
        <v>10</v>
      </c>
      <c r="I124" s="9">
        <v>213</v>
      </c>
      <c r="J124" s="6">
        <f>IFERROR(Info_Camas[[#This Row],[Lineas]]/Info_Camas[[#This Row],[Cortinas]],"Pendiente")</f>
        <v>21.3</v>
      </c>
    </row>
    <row r="125" spans="1:10" hidden="1" x14ac:dyDescent="0.25">
      <c r="A125" t="str">
        <f>+_xlfn.CONCAT(Info_Camas[[#This Row],[Bloque]],Info_Camas[[#This Row],[Lado]],Info_Camas[[#This Row],[Cama]])</f>
        <v>01B062</v>
      </c>
      <c r="B125" t="s">
        <v>739</v>
      </c>
      <c r="C125" t="s">
        <v>14</v>
      </c>
      <c r="D125" t="s">
        <v>21</v>
      </c>
      <c r="E125" t="s">
        <v>74</v>
      </c>
      <c r="F125" t="s">
        <v>188</v>
      </c>
      <c r="G125">
        <v>58.625</v>
      </c>
      <c r="H125" s="9">
        <v>10</v>
      </c>
      <c r="I125" s="9">
        <v>217</v>
      </c>
      <c r="J125" s="6">
        <f>IFERROR(Info_Camas[[#This Row],[Lineas]]/Info_Camas[[#This Row],[Cortinas]],"Pendiente")</f>
        <v>21.7</v>
      </c>
    </row>
    <row r="126" spans="1:10" hidden="1" x14ac:dyDescent="0.25">
      <c r="A126" t="str">
        <f>+_xlfn.CONCAT(Info_Camas[[#This Row],[Bloque]],Info_Camas[[#This Row],[Lado]],Info_Camas[[#This Row],[Cama]])</f>
        <v>01A063</v>
      </c>
      <c r="B126" t="s">
        <v>739</v>
      </c>
      <c r="C126" t="s">
        <v>14</v>
      </c>
      <c r="D126" t="s">
        <v>15</v>
      </c>
      <c r="E126" t="s">
        <v>74</v>
      </c>
      <c r="F126" t="s">
        <v>190</v>
      </c>
      <c r="G126">
        <v>58.625</v>
      </c>
      <c r="H126" s="9">
        <v>10</v>
      </c>
      <c r="I126" s="9">
        <v>215</v>
      </c>
      <c r="J126" s="6">
        <f>IFERROR(Info_Camas[[#This Row],[Lineas]]/Info_Camas[[#This Row],[Cortinas]],"Pendiente")</f>
        <v>21.5</v>
      </c>
    </row>
    <row r="127" spans="1:10" hidden="1" x14ac:dyDescent="0.25">
      <c r="A127" t="str">
        <f>+_xlfn.CONCAT(Info_Camas[[#This Row],[Bloque]],Info_Camas[[#This Row],[Lado]],Info_Camas[[#This Row],[Cama]])</f>
        <v>01B063</v>
      </c>
      <c r="B127" t="s">
        <v>739</v>
      </c>
      <c r="C127" t="s">
        <v>14</v>
      </c>
      <c r="D127" t="s">
        <v>21</v>
      </c>
      <c r="E127" t="s">
        <v>74</v>
      </c>
      <c r="F127" t="s">
        <v>190</v>
      </c>
      <c r="G127">
        <v>58.625</v>
      </c>
      <c r="H127" s="9">
        <v>10</v>
      </c>
      <c r="I127" s="9">
        <v>215</v>
      </c>
      <c r="J127" s="6">
        <f>IFERROR(Info_Camas[[#This Row],[Lineas]]/Info_Camas[[#This Row],[Cortinas]],"Pendiente")</f>
        <v>21.5</v>
      </c>
    </row>
    <row r="128" spans="1:10" hidden="1" x14ac:dyDescent="0.25">
      <c r="A128" t="str">
        <f>+_xlfn.CONCAT(Info_Camas[[#This Row],[Bloque]],Info_Camas[[#This Row],[Lado]],Info_Camas[[#This Row],[Cama]])</f>
        <v>01A064</v>
      </c>
      <c r="B128" t="s">
        <v>739</v>
      </c>
      <c r="C128" t="s">
        <v>14</v>
      </c>
      <c r="D128" t="s">
        <v>15</v>
      </c>
      <c r="E128" t="s">
        <v>74</v>
      </c>
      <c r="F128" t="s">
        <v>192</v>
      </c>
      <c r="G128">
        <v>58.625</v>
      </c>
      <c r="H128" s="9">
        <v>10</v>
      </c>
      <c r="I128" s="9">
        <v>213</v>
      </c>
      <c r="J128" s="6">
        <f>IFERROR(Info_Camas[[#This Row],[Lineas]]/Info_Camas[[#This Row],[Cortinas]],"Pendiente")</f>
        <v>21.3</v>
      </c>
    </row>
    <row r="129" spans="1:10" hidden="1" x14ac:dyDescent="0.25">
      <c r="A129" t="str">
        <f>+_xlfn.CONCAT(Info_Camas[[#This Row],[Bloque]],Info_Camas[[#This Row],[Lado]],Info_Camas[[#This Row],[Cama]])</f>
        <v>01B064</v>
      </c>
      <c r="B129" t="s">
        <v>739</v>
      </c>
      <c r="C129" t="s">
        <v>14</v>
      </c>
      <c r="D129" t="s">
        <v>21</v>
      </c>
      <c r="E129" t="s">
        <v>74</v>
      </c>
      <c r="F129" t="s">
        <v>192</v>
      </c>
      <c r="G129">
        <v>22.333300000000001</v>
      </c>
      <c r="H129" s="9">
        <v>10</v>
      </c>
      <c r="I129" s="9">
        <v>217</v>
      </c>
      <c r="J129" s="6">
        <f>IFERROR(Info_Camas[[#This Row],[Lineas]]/Info_Camas[[#This Row],[Cortinas]],"Pendiente")</f>
        <v>21.7</v>
      </c>
    </row>
    <row r="130" spans="1:10" hidden="1" x14ac:dyDescent="0.25">
      <c r="A130" t="str">
        <f>+_xlfn.CONCAT(Info_Camas[[#This Row],[Bloque]],Info_Camas[[#This Row],[Lado]],Info_Camas[[#This Row],[Cama]])</f>
        <v>01A065</v>
      </c>
      <c r="B130" t="s">
        <v>739</v>
      </c>
      <c r="C130" t="s">
        <v>14</v>
      </c>
      <c r="D130" t="s">
        <v>15</v>
      </c>
      <c r="E130" t="s">
        <v>77</v>
      </c>
      <c r="F130" t="s">
        <v>194</v>
      </c>
      <c r="G130">
        <v>58.625</v>
      </c>
      <c r="H130" s="9">
        <v>10</v>
      </c>
      <c r="I130" s="9">
        <v>217</v>
      </c>
      <c r="J130" s="6">
        <f>IFERROR(Info_Camas[[#This Row],[Lineas]]/Info_Camas[[#This Row],[Cortinas]],"Pendiente")</f>
        <v>21.7</v>
      </c>
    </row>
    <row r="131" spans="1:10" hidden="1" x14ac:dyDescent="0.25">
      <c r="A131" t="str">
        <f>+_xlfn.CONCAT(Info_Camas[[#This Row],[Bloque]],Info_Camas[[#This Row],[Lado]],Info_Camas[[#This Row],[Cama]])</f>
        <v>01B065</v>
      </c>
      <c r="B131" t="s">
        <v>739</v>
      </c>
      <c r="C131" t="s">
        <v>14</v>
      </c>
      <c r="D131" t="s">
        <v>21</v>
      </c>
      <c r="E131" t="s">
        <v>77</v>
      </c>
      <c r="F131" t="s">
        <v>194</v>
      </c>
      <c r="G131">
        <v>58.625</v>
      </c>
      <c r="H131" s="9">
        <v>10</v>
      </c>
      <c r="I131" s="9">
        <v>215</v>
      </c>
      <c r="J131" s="6">
        <f>IFERROR(Info_Camas[[#This Row],[Lineas]]/Info_Camas[[#This Row],[Cortinas]],"Pendiente")</f>
        <v>21.5</v>
      </c>
    </row>
    <row r="132" spans="1:10" hidden="1" x14ac:dyDescent="0.25">
      <c r="A132" t="str">
        <f>+_xlfn.CONCAT(Info_Camas[[#This Row],[Bloque]],Info_Camas[[#This Row],[Lado]],Info_Camas[[#This Row],[Cama]])</f>
        <v>01A066</v>
      </c>
      <c r="B132" t="s">
        <v>739</v>
      </c>
      <c r="C132" t="s">
        <v>14</v>
      </c>
      <c r="D132" t="s">
        <v>15</v>
      </c>
      <c r="E132" t="s">
        <v>77</v>
      </c>
      <c r="F132" t="s">
        <v>196</v>
      </c>
      <c r="G132">
        <v>58.625</v>
      </c>
      <c r="H132" s="9">
        <v>10</v>
      </c>
      <c r="I132" s="9">
        <v>215</v>
      </c>
      <c r="J132" s="6">
        <f>IFERROR(Info_Camas[[#This Row],[Lineas]]/Info_Camas[[#This Row],[Cortinas]],"Pendiente")</f>
        <v>21.5</v>
      </c>
    </row>
    <row r="133" spans="1:10" hidden="1" x14ac:dyDescent="0.25">
      <c r="A133" t="str">
        <f>+_xlfn.CONCAT(Info_Camas[[#This Row],[Bloque]],Info_Camas[[#This Row],[Lado]],Info_Camas[[#This Row],[Cama]])</f>
        <v>01B066</v>
      </c>
      <c r="B133" t="s">
        <v>739</v>
      </c>
      <c r="C133" t="s">
        <v>14</v>
      </c>
      <c r="D133" t="s">
        <v>21</v>
      </c>
      <c r="E133" t="s">
        <v>77</v>
      </c>
      <c r="F133" t="s">
        <v>196</v>
      </c>
      <c r="G133">
        <v>58.625</v>
      </c>
      <c r="H133" s="9">
        <v>10</v>
      </c>
      <c r="I133" s="9">
        <v>215</v>
      </c>
      <c r="J133" s="6">
        <f>IFERROR(Info_Camas[[#This Row],[Lineas]]/Info_Camas[[#This Row],[Cortinas]],"Pendiente")</f>
        <v>21.5</v>
      </c>
    </row>
    <row r="134" spans="1:10" hidden="1" x14ac:dyDescent="0.25">
      <c r="A134" t="str">
        <f>+_xlfn.CONCAT(Info_Camas[[#This Row],[Bloque]],Info_Camas[[#This Row],[Lado]],Info_Camas[[#This Row],[Cama]])</f>
        <v>01A067</v>
      </c>
      <c r="B134" t="s">
        <v>739</v>
      </c>
      <c r="C134" t="s">
        <v>14</v>
      </c>
      <c r="D134" t="s">
        <v>15</v>
      </c>
      <c r="E134" t="s">
        <v>77</v>
      </c>
      <c r="F134" t="s">
        <v>198</v>
      </c>
      <c r="G134">
        <v>58.625</v>
      </c>
      <c r="H134" s="9">
        <v>10</v>
      </c>
      <c r="I134" s="9">
        <v>214</v>
      </c>
      <c r="J134" s="6">
        <f>IFERROR(Info_Camas[[#This Row],[Lineas]]/Info_Camas[[#This Row],[Cortinas]],"Pendiente")</f>
        <v>21.4</v>
      </c>
    </row>
    <row r="135" spans="1:10" hidden="1" x14ac:dyDescent="0.25">
      <c r="A135" t="str">
        <f>+_xlfn.CONCAT(Info_Camas[[#This Row],[Bloque]],Info_Camas[[#This Row],[Lado]],Info_Camas[[#This Row],[Cama]])</f>
        <v>01B067</v>
      </c>
      <c r="B135" t="s">
        <v>739</v>
      </c>
      <c r="C135" t="s">
        <v>14</v>
      </c>
      <c r="D135" t="s">
        <v>21</v>
      </c>
      <c r="E135" t="s">
        <v>77</v>
      </c>
      <c r="F135" t="s">
        <v>198</v>
      </c>
      <c r="G135">
        <v>58.625</v>
      </c>
      <c r="H135" s="9">
        <v>10</v>
      </c>
      <c r="I135" s="9">
        <v>214</v>
      </c>
      <c r="J135" s="6">
        <f>IFERROR(Info_Camas[[#This Row],[Lineas]]/Info_Camas[[#This Row],[Cortinas]],"Pendiente")</f>
        <v>21.4</v>
      </c>
    </row>
    <row r="136" spans="1:10" hidden="1" x14ac:dyDescent="0.25">
      <c r="A136" t="str">
        <f>+_xlfn.CONCAT(Info_Camas[[#This Row],[Bloque]],Info_Camas[[#This Row],[Lado]],Info_Camas[[#This Row],[Cama]])</f>
        <v>01A068</v>
      </c>
      <c r="B136" t="s">
        <v>739</v>
      </c>
      <c r="C136" t="s">
        <v>14</v>
      </c>
      <c r="D136" t="s">
        <v>15</v>
      </c>
      <c r="E136" t="s">
        <v>77</v>
      </c>
      <c r="F136" t="s">
        <v>200</v>
      </c>
      <c r="G136">
        <v>58.625</v>
      </c>
      <c r="H136" s="9">
        <v>10</v>
      </c>
      <c r="I136" s="9">
        <v>214</v>
      </c>
      <c r="J136" s="6">
        <f>IFERROR(Info_Camas[[#This Row],[Lineas]]/Info_Camas[[#This Row],[Cortinas]],"Pendiente")</f>
        <v>21.4</v>
      </c>
    </row>
    <row r="137" spans="1:10" hidden="1" x14ac:dyDescent="0.25">
      <c r="A137" t="str">
        <f>+_xlfn.CONCAT(Info_Camas[[#This Row],[Bloque]],Info_Camas[[#This Row],[Lado]],Info_Camas[[#This Row],[Cama]])</f>
        <v>01B068</v>
      </c>
      <c r="B137" t="s">
        <v>739</v>
      </c>
      <c r="C137" t="s">
        <v>14</v>
      </c>
      <c r="D137" t="s">
        <v>21</v>
      </c>
      <c r="E137" t="s">
        <v>77</v>
      </c>
      <c r="F137" t="s">
        <v>200</v>
      </c>
      <c r="G137">
        <v>58.625</v>
      </c>
      <c r="H137" s="9">
        <v>10</v>
      </c>
      <c r="I137" s="9">
        <v>215</v>
      </c>
      <c r="J137" s="6">
        <f>IFERROR(Info_Camas[[#This Row],[Lineas]]/Info_Camas[[#This Row],[Cortinas]],"Pendiente")</f>
        <v>21.5</v>
      </c>
    </row>
    <row r="138" spans="1:10" hidden="1" x14ac:dyDescent="0.25">
      <c r="A138" t="str">
        <f>+_xlfn.CONCAT(Info_Camas[[#This Row],[Bloque]],Info_Camas[[#This Row],[Lado]],Info_Camas[[#This Row],[Cama]])</f>
        <v>01A069</v>
      </c>
      <c r="B138" t="s">
        <v>739</v>
      </c>
      <c r="C138" t="s">
        <v>14</v>
      </c>
      <c r="D138" t="s">
        <v>15</v>
      </c>
      <c r="E138" t="s">
        <v>80</v>
      </c>
      <c r="F138" t="s">
        <v>202</v>
      </c>
      <c r="G138">
        <v>58.625</v>
      </c>
      <c r="H138" s="9">
        <v>10</v>
      </c>
      <c r="I138" s="9">
        <v>215</v>
      </c>
      <c r="J138" s="6">
        <f>IFERROR(Info_Camas[[#This Row],[Lineas]]/Info_Camas[[#This Row],[Cortinas]],"Pendiente")</f>
        <v>21.5</v>
      </c>
    </row>
    <row r="139" spans="1:10" hidden="1" x14ac:dyDescent="0.25">
      <c r="A139" t="str">
        <f>+_xlfn.CONCAT(Info_Camas[[#This Row],[Bloque]],Info_Camas[[#This Row],[Lado]],Info_Camas[[#This Row],[Cama]])</f>
        <v>01B069</v>
      </c>
      <c r="B139" t="s">
        <v>739</v>
      </c>
      <c r="C139" t="s">
        <v>14</v>
      </c>
      <c r="D139" t="s">
        <v>21</v>
      </c>
      <c r="E139" t="s">
        <v>80</v>
      </c>
      <c r="F139" t="s">
        <v>202</v>
      </c>
      <c r="G139">
        <v>58.625</v>
      </c>
      <c r="H139" s="9">
        <v>10</v>
      </c>
      <c r="I139" s="9">
        <v>215</v>
      </c>
      <c r="J139" s="6">
        <f>IFERROR(Info_Camas[[#This Row],[Lineas]]/Info_Camas[[#This Row],[Cortinas]],"Pendiente")</f>
        <v>21.5</v>
      </c>
    </row>
    <row r="140" spans="1:10" hidden="1" x14ac:dyDescent="0.25">
      <c r="A140" t="str">
        <f>+_xlfn.CONCAT(Info_Camas[[#This Row],[Bloque]],Info_Camas[[#This Row],[Lado]],Info_Camas[[#This Row],[Cama]])</f>
        <v>01A070</v>
      </c>
      <c r="B140" t="s">
        <v>739</v>
      </c>
      <c r="C140" t="s">
        <v>14</v>
      </c>
      <c r="D140" t="s">
        <v>15</v>
      </c>
      <c r="E140" t="s">
        <v>80</v>
      </c>
      <c r="F140" t="s">
        <v>204</v>
      </c>
      <c r="G140">
        <v>58.625</v>
      </c>
      <c r="H140" s="9">
        <v>10</v>
      </c>
      <c r="I140" s="9">
        <v>217</v>
      </c>
      <c r="J140" s="6">
        <f>IFERROR(Info_Camas[[#This Row],[Lineas]]/Info_Camas[[#This Row],[Cortinas]],"Pendiente")</f>
        <v>21.7</v>
      </c>
    </row>
    <row r="141" spans="1:10" hidden="1" x14ac:dyDescent="0.25">
      <c r="A141" t="str">
        <f>+_xlfn.CONCAT(Info_Camas[[#This Row],[Bloque]],Info_Camas[[#This Row],[Lado]],Info_Camas[[#This Row],[Cama]])</f>
        <v>01B070</v>
      </c>
      <c r="B141" t="s">
        <v>739</v>
      </c>
      <c r="C141" t="s">
        <v>14</v>
      </c>
      <c r="D141" t="s">
        <v>21</v>
      </c>
      <c r="E141" t="s">
        <v>80</v>
      </c>
      <c r="F141" t="s">
        <v>204</v>
      </c>
      <c r="G141">
        <v>58.625</v>
      </c>
      <c r="H141" s="9">
        <v>10</v>
      </c>
      <c r="I141" s="9">
        <v>215</v>
      </c>
      <c r="J141" s="6">
        <f>IFERROR(Info_Camas[[#This Row],[Lineas]]/Info_Camas[[#This Row],[Cortinas]],"Pendiente")</f>
        <v>21.5</v>
      </c>
    </row>
    <row r="142" spans="1:10" hidden="1" x14ac:dyDescent="0.25">
      <c r="A142" t="str">
        <f>+_xlfn.CONCAT(Info_Camas[[#This Row],[Bloque]],Info_Camas[[#This Row],[Lado]],Info_Camas[[#This Row],[Cama]])</f>
        <v>01A071</v>
      </c>
      <c r="B142" t="s">
        <v>739</v>
      </c>
      <c r="C142" t="s">
        <v>14</v>
      </c>
      <c r="D142" t="s">
        <v>15</v>
      </c>
      <c r="E142" t="s">
        <v>80</v>
      </c>
      <c r="F142" t="s">
        <v>206</v>
      </c>
      <c r="G142">
        <v>58.625</v>
      </c>
      <c r="H142" s="9">
        <v>10</v>
      </c>
      <c r="I142" s="9">
        <v>215</v>
      </c>
      <c r="J142" s="6">
        <f>IFERROR(Info_Camas[[#This Row],[Lineas]]/Info_Camas[[#This Row],[Cortinas]],"Pendiente")</f>
        <v>21.5</v>
      </c>
    </row>
    <row r="143" spans="1:10" hidden="1" x14ac:dyDescent="0.25">
      <c r="A143" t="str">
        <f>+_xlfn.CONCAT(Info_Camas[[#This Row],[Bloque]],Info_Camas[[#This Row],[Lado]],Info_Camas[[#This Row],[Cama]])</f>
        <v>01B071</v>
      </c>
      <c r="B143" t="s">
        <v>739</v>
      </c>
      <c r="C143" t="s">
        <v>14</v>
      </c>
      <c r="D143" t="s">
        <v>21</v>
      </c>
      <c r="E143" t="s">
        <v>80</v>
      </c>
      <c r="F143" t="s">
        <v>206</v>
      </c>
      <c r="G143">
        <v>58.625</v>
      </c>
      <c r="H143" s="9">
        <v>10</v>
      </c>
      <c r="I143" s="9">
        <v>215</v>
      </c>
      <c r="J143" s="6">
        <f>IFERROR(Info_Camas[[#This Row],[Lineas]]/Info_Camas[[#This Row],[Cortinas]],"Pendiente")</f>
        <v>21.5</v>
      </c>
    </row>
    <row r="144" spans="1:10" hidden="1" x14ac:dyDescent="0.25">
      <c r="A144" t="str">
        <f>+_xlfn.CONCAT(Info_Camas[[#This Row],[Bloque]],Info_Camas[[#This Row],[Lado]],Info_Camas[[#This Row],[Cama]])</f>
        <v>01A072</v>
      </c>
      <c r="B144" t="s">
        <v>739</v>
      </c>
      <c r="C144" t="s">
        <v>14</v>
      </c>
      <c r="D144" t="s">
        <v>15</v>
      </c>
      <c r="E144" t="s">
        <v>80</v>
      </c>
      <c r="F144" t="s">
        <v>208</v>
      </c>
      <c r="G144">
        <v>58.625</v>
      </c>
      <c r="H144" s="9">
        <v>10</v>
      </c>
      <c r="I144" s="9">
        <v>215</v>
      </c>
      <c r="J144" s="6">
        <f>IFERROR(Info_Camas[[#This Row],[Lineas]]/Info_Camas[[#This Row],[Cortinas]],"Pendiente")</f>
        <v>21.5</v>
      </c>
    </row>
    <row r="145" spans="1:10" hidden="1" x14ac:dyDescent="0.25">
      <c r="A145" t="str">
        <f>+_xlfn.CONCAT(Info_Camas[[#This Row],[Bloque]],Info_Camas[[#This Row],[Lado]],Info_Camas[[#This Row],[Cama]])</f>
        <v>01B072</v>
      </c>
      <c r="B145" t="s">
        <v>739</v>
      </c>
      <c r="C145" t="s">
        <v>14</v>
      </c>
      <c r="D145" t="s">
        <v>21</v>
      </c>
      <c r="E145" t="s">
        <v>80</v>
      </c>
      <c r="F145" t="s">
        <v>208</v>
      </c>
      <c r="G145">
        <v>58.625</v>
      </c>
      <c r="H145" s="9">
        <v>10</v>
      </c>
      <c r="I145" s="9">
        <v>216</v>
      </c>
      <c r="J145" s="6">
        <f>IFERROR(Info_Camas[[#This Row],[Lineas]]/Info_Camas[[#This Row],[Cortinas]],"Pendiente")</f>
        <v>21.6</v>
      </c>
    </row>
    <row r="146" spans="1:10" hidden="1" x14ac:dyDescent="0.25">
      <c r="A146" t="str">
        <f>+_xlfn.CONCAT(Info_Camas[[#This Row],[Bloque]],Info_Camas[[#This Row],[Lado]],Info_Camas[[#This Row],[Cama]])</f>
        <v>01A073</v>
      </c>
      <c r="B146" t="s">
        <v>739</v>
      </c>
      <c r="C146" t="s">
        <v>14</v>
      </c>
      <c r="D146" t="s">
        <v>15</v>
      </c>
      <c r="E146" t="s">
        <v>83</v>
      </c>
      <c r="F146" t="s">
        <v>210</v>
      </c>
      <c r="G146">
        <v>58.625</v>
      </c>
      <c r="H146" s="9">
        <v>10</v>
      </c>
      <c r="I146" s="9">
        <v>214</v>
      </c>
      <c r="J146" s="6">
        <f>IFERROR(Info_Camas[[#This Row],[Lineas]]/Info_Camas[[#This Row],[Cortinas]],"Pendiente")</f>
        <v>21.4</v>
      </c>
    </row>
    <row r="147" spans="1:10" hidden="1" x14ac:dyDescent="0.25">
      <c r="A147" t="str">
        <f>+_xlfn.CONCAT(Info_Camas[[#This Row],[Bloque]],Info_Camas[[#This Row],[Lado]],Info_Camas[[#This Row],[Cama]])</f>
        <v>01B073</v>
      </c>
      <c r="B147" t="s">
        <v>739</v>
      </c>
      <c r="C147" t="s">
        <v>14</v>
      </c>
      <c r="D147" t="s">
        <v>21</v>
      </c>
      <c r="E147" t="s">
        <v>83</v>
      </c>
      <c r="F147" t="s">
        <v>210</v>
      </c>
      <c r="G147">
        <v>58.625</v>
      </c>
      <c r="H147" s="9">
        <v>10</v>
      </c>
      <c r="I147" s="9">
        <v>214</v>
      </c>
      <c r="J147" s="6">
        <f>IFERROR(Info_Camas[[#This Row],[Lineas]]/Info_Camas[[#This Row],[Cortinas]],"Pendiente")</f>
        <v>21.4</v>
      </c>
    </row>
    <row r="148" spans="1:10" hidden="1" x14ac:dyDescent="0.25">
      <c r="A148" t="str">
        <f>+_xlfn.CONCAT(Info_Camas[[#This Row],[Bloque]],Info_Camas[[#This Row],[Lado]],Info_Camas[[#This Row],[Cama]])</f>
        <v>01A074</v>
      </c>
      <c r="B148" t="s">
        <v>739</v>
      </c>
      <c r="C148" t="s">
        <v>14</v>
      </c>
      <c r="D148" t="s">
        <v>15</v>
      </c>
      <c r="E148" t="s">
        <v>83</v>
      </c>
      <c r="F148" t="s">
        <v>212</v>
      </c>
      <c r="G148">
        <v>31.202100000000002</v>
      </c>
      <c r="H148" s="9">
        <v>10</v>
      </c>
      <c r="I148" s="9">
        <v>215</v>
      </c>
      <c r="J148" s="6">
        <f>IFERROR(Info_Camas[[#This Row],[Lineas]]/Info_Camas[[#This Row],[Cortinas]],"Pendiente")</f>
        <v>21.5</v>
      </c>
    </row>
    <row r="149" spans="1:10" hidden="1" x14ac:dyDescent="0.25">
      <c r="A149" t="str">
        <f>+_xlfn.CONCAT(Info_Camas[[#This Row],[Bloque]],Info_Camas[[#This Row],[Lado]],Info_Camas[[#This Row],[Cama]])</f>
        <v>01B074</v>
      </c>
      <c r="B149" t="s">
        <v>739</v>
      </c>
      <c r="C149" t="s">
        <v>14</v>
      </c>
      <c r="D149" t="s">
        <v>21</v>
      </c>
      <c r="E149" t="s">
        <v>83</v>
      </c>
      <c r="F149" t="s">
        <v>212</v>
      </c>
      <c r="G149">
        <v>40.673900000000003</v>
      </c>
      <c r="H149" s="9">
        <v>10</v>
      </c>
      <c r="I149" s="9">
        <v>214</v>
      </c>
      <c r="J149" s="6">
        <f>IFERROR(Info_Camas[[#This Row],[Lineas]]/Info_Camas[[#This Row],[Cortinas]],"Pendiente")</f>
        <v>21.4</v>
      </c>
    </row>
    <row r="150" spans="1:10" hidden="1" x14ac:dyDescent="0.25">
      <c r="A150" t="str">
        <f>+_xlfn.CONCAT(Info_Camas[[#This Row],[Bloque]],Info_Camas[[#This Row],[Lado]],Info_Camas[[#This Row],[Cama]])</f>
        <v>01A075</v>
      </c>
      <c r="B150" t="s">
        <v>739</v>
      </c>
      <c r="C150" t="s">
        <v>14</v>
      </c>
      <c r="D150" t="s">
        <v>15</v>
      </c>
      <c r="E150" t="s">
        <v>83</v>
      </c>
      <c r="F150" t="s">
        <v>214</v>
      </c>
      <c r="G150">
        <v>58.625</v>
      </c>
      <c r="H150" s="9">
        <v>10</v>
      </c>
      <c r="I150" s="9">
        <v>214</v>
      </c>
      <c r="J150" s="6">
        <f>IFERROR(Info_Camas[[#This Row],[Lineas]]/Info_Camas[[#This Row],[Cortinas]],"Pendiente")</f>
        <v>21.4</v>
      </c>
    </row>
    <row r="151" spans="1:10" hidden="1" x14ac:dyDescent="0.25">
      <c r="A151" t="str">
        <f>+_xlfn.CONCAT(Info_Camas[[#This Row],[Bloque]],Info_Camas[[#This Row],[Lado]],Info_Camas[[#This Row],[Cama]])</f>
        <v>01B075</v>
      </c>
      <c r="B151" t="s">
        <v>739</v>
      </c>
      <c r="C151" t="s">
        <v>14</v>
      </c>
      <c r="D151" t="s">
        <v>21</v>
      </c>
      <c r="E151" t="s">
        <v>83</v>
      </c>
      <c r="F151" t="s">
        <v>214</v>
      </c>
      <c r="G151">
        <v>58.625</v>
      </c>
      <c r="H151" s="9">
        <v>10</v>
      </c>
      <c r="I151" s="9">
        <v>215</v>
      </c>
      <c r="J151" s="6">
        <f>IFERROR(Info_Camas[[#This Row],[Lineas]]/Info_Camas[[#This Row],[Cortinas]],"Pendiente")</f>
        <v>21.5</v>
      </c>
    </row>
    <row r="152" spans="1:10" hidden="1" x14ac:dyDescent="0.25">
      <c r="A152" t="str">
        <f>+_xlfn.CONCAT(Info_Camas[[#This Row],[Bloque]],Info_Camas[[#This Row],[Lado]],Info_Camas[[#This Row],[Cama]])</f>
        <v>01A076</v>
      </c>
      <c r="B152" t="s">
        <v>739</v>
      </c>
      <c r="C152" t="s">
        <v>14</v>
      </c>
      <c r="D152" t="s">
        <v>15</v>
      </c>
      <c r="E152" t="s">
        <v>83</v>
      </c>
      <c r="F152" t="s">
        <v>216</v>
      </c>
      <c r="G152">
        <v>58.625</v>
      </c>
      <c r="H152" s="9">
        <v>10</v>
      </c>
      <c r="I152" s="9">
        <v>215</v>
      </c>
      <c r="J152" s="6">
        <f>IFERROR(Info_Camas[[#This Row],[Lineas]]/Info_Camas[[#This Row],[Cortinas]],"Pendiente")</f>
        <v>21.5</v>
      </c>
    </row>
    <row r="153" spans="1:10" hidden="1" x14ac:dyDescent="0.25">
      <c r="A153" t="str">
        <f>+_xlfn.CONCAT(Info_Camas[[#This Row],[Bloque]],Info_Camas[[#This Row],[Lado]],Info_Camas[[#This Row],[Cama]])</f>
        <v>01B076</v>
      </c>
      <c r="B153" t="s">
        <v>739</v>
      </c>
      <c r="C153" t="s">
        <v>14</v>
      </c>
      <c r="D153" t="s">
        <v>21</v>
      </c>
      <c r="E153" t="s">
        <v>83</v>
      </c>
      <c r="F153" t="s">
        <v>216</v>
      </c>
      <c r="G153">
        <v>58.625</v>
      </c>
      <c r="H153" s="9">
        <v>10</v>
      </c>
      <c r="I153" s="9">
        <v>215</v>
      </c>
      <c r="J153" s="6">
        <f>IFERROR(Info_Camas[[#This Row],[Lineas]]/Info_Camas[[#This Row],[Cortinas]],"Pendiente")</f>
        <v>21.5</v>
      </c>
    </row>
    <row r="154" spans="1:10" hidden="1" x14ac:dyDescent="0.25">
      <c r="A154" t="str">
        <f>+_xlfn.CONCAT(Info_Camas[[#This Row],[Bloque]],Info_Camas[[#This Row],[Lado]],Info_Camas[[#This Row],[Cama]])</f>
        <v>01A077</v>
      </c>
      <c r="B154" t="s">
        <v>739</v>
      </c>
      <c r="C154" t="s">
        <v>14</v>
      </c>
      <c r="D154" t="s">
        <v>15</v>
      </c>
      <c r="E154" t="s">
        <v>86</v>
      </c>
      <c r="F154" t="s">
        <v>218</v>
      </c>
      <c r="G154">
        <v>58.625</v>
      </c>
      <c r="H154" s="9">
        <v>10</v>
      </c>
      <c r="I154" s="9">
        <v>215</v>
      </c>
      <c r="J154" s="6">
        <f>IFERROR(Info_Camas[[#This Row],[Lineas]]/Info_Camas[[#This Row],[Cortinas]],"Pendiente")</f>
        <v>21.5</v>
      </c>
    </row>
    <row r="155" spans="1:10" hidden="1" x14ac:dyDescent="0.25">
      <c r="A155" t="str">
        <f>+_xlfn.CONCAT(Info_Camas[[#This Row],[Bloque]],Info_Camas[[#This Row],[Lado]],Info_Camas[[#This Row],[Cama]])</f>
        <v>01B077</v>
      </c>
      <c r="B155" t="s">
        <v>739</v>
      </c>
      <c r="C155" t="s">
        <v>14</v>
      </c>
      <c r="D155" t="s">
        <v>21</v>
      </c>
      <c r="E155" t="s">
        <v>86</v>
      </c>
      <c r="F155" t="s">
        <v>218</v>
      </c>
      <c r="G155">
        <v>58.625</v>
      </c>
      <c r="H155" s="9">
        <v>10</v>
      </c>
      <c r="I155" s="9">
        <v>203</v>
      </c>
      <c r="J155" s="6">
        <f>IFERROR(Info_Camas[[#This Row],[Lineas]]/Info_Camas[[#This Row],[Cortinas]],"Pendiente")</f>
        <v>20.3</v>
      </c>
    </row>
    <row r="156" spans="1:10" hidden="1" x14ac:dyDescent="0.25">
      <c r="A156" t="str">
        <f>+_xlfn.CONCAT(Info_Camas[[#This Row],[Bloque]],Info_Camas[[#This Row],[Lado]],Info_Camas[[#This Row],[Cama]])</f>
        <v>01A078</v>
      </c>
      <c r="B156" t="s">
        <v>739</v>
      </c>
      <c r="C156" t="s">
        <v>14</v>
      </c>
      <c r="D156" t="s">
        <v>15</v>
      </c>
      <c r="E156" t="s">
        <v>86</v>
      </c>
      <c r="F156" t="s">
        <v>220</v>
      </c>
      <c r="G156">
        <v>58.625</v>
      </c>
      <c r="H156" s="9">
        <v>10</v>
      </c>
      <c r="I156" s="9">
        <v>215</v>
      </c>
      <c r="J156" s="6">
        <f>IFERROR(Info_Camas[[#This Row],[Lineas]]/Info_Camas[[#This Row],[Cortinas]],"Pendiente")</f>
        <v>21.5</v>
      </c>
    </row>
    <row r="157" spans="1:10" hidden="1" x14ac:dyDescent="0.25">
      <c r="A157" t="str">
        <f>+_xlfn.CONCAT(Info_Camas[[#This Row],[Bloque]],Info_Camas[[#This Row],[Lado]],Info_Camas[[#This Row],[Cama]])</f>
        <v>01B078</v>
      </c>
      <c r="B157" t="s">
        <v>739</v>
      </c>
      <c r="C157" t="s">
        <v>14</v>
      </c>
      <c r="D157" t="s">
        <v>21</v>
      </c>
      <c r="E157" t="s">
        <v>86</v>
      </c>
      <c r="F157" t="s">
        <v>220</v>
      </c>
      <c r="G157">
        <v>58.625</v>
      </c>
      <c r="H157" s="9">
        <v>10</v>
      </c>
      <c r="I157" s="9">
        <v>202</v>
      </c>
      <c r="J157" s="6">
        <f>IFERROR(Info_Camas[[#This Row],[Lineas]]/Info_Camas[[#This Row],[Cortinas]],"Pendiente")</f>
        <v>20.2</v>
      </c>
    </row>
    <row r="158" spans="1:10" hidden="1" x14ac:dyDescent="0.25">
      <c r="A158" t="str">
        <f>+_xlfn.CONCAT(Info_Camas[[#This Row],[Bloque]],Info_Camas[[#This Row],[Lado]],Info_Camas[[#This Row],[Cama]])</f>
        <v>01A079</v>
      </c>
      <c r="B158" t="s">
        <v>739</v>
      </c>
      <c r="C158" t="s">
        <v>14</v>
      </c>
      <c r="D158" t="s">
        <v>15</v>
      </c>
      <c r="E158" t="s">
        <v>86</v>
      </c>
      <c r="F158" t="s">
        <v>222</v>
      </c>
      <c r="G158">
        <v>17.5898</v>
      </c>
      <c r="H158" s="9">
        <v>10</v>
      </c>
      <c r="I158" s="9">
        <v>214</v>
      </c>
      <c r="J158" s="6">
        <f>IFERROR(Info_Camas[[#This Row],[Lineas]]/Info_Camas[[#This Row],[Cortinas]],"Pendiente")</f>
        <v>21.4</v>
      </c>
    </row>
    <row r="159" spans="1:10" hidden="1" x14ac:dyDescent="0.25">
      <c r="A159" t="str">
        <f>+_xlfn.CONCAT(Info_Camas[[#This Row],[Bloque]],Info_Camas[[#This Row],[Lado]],Info_Camas[[#This Row],[Cama]])</f>
        <v>01B079</v>
      </c>
      <c r="B159" t="s">
        <v>739</v>
      </c>
      <c r="C159" t="s">
        <v>14</v>
      </c>
      <c r="D159" t="s">
        <v>21</v>
      </c>
      <c r="E159" t="s">
        <v>86</v>
      </c>
      <c r="F159" t="s">
        <v>222</v>
      </c>
      <c r="G159">
        <v>58.625</v>
      </c>
      <c r="H159" s="9">
        <v>10</v>
      </c>
      <c r="I159" s="9">
        <v>203</v>
      </c>
      <c r="J159" s="6">
        <f>IFERROR(Info_Camas[[#This Row],[Lineas]]/Info_Camas[[#This Row],[Cortinas]],"Pendiente")</f>
        <v>20.3</v>
      </c>
    </row>
    <row r="160" spans="1:10" hidden="1" x14ac:dyDescent="0.25">
      <c r="A160" t="str">
        <f>+_xlfn.CONCAT(Info_Camas[[#This Row],[Bloque]],Info_Camas[[#This Row],[Lado]],Info_Camas[[#This Row],[Cama]])</f>
        <v>01A080</v>
      </c>
      <c r="B160" t="s">
        <v>739</v>
      </c>
      <c r="C160" t="s">
        <v>14</v>
      </c>
      <c r="D160" t="s">
        <v>15</v>
      </c>
      <c r="E160" t="s">
        <v>86</v>
      </c>
      <c r="F160" t="s">
        <v>224</v>
      </c>
      <c r="G160">
        <v>58.625</v>
      </c>
      <c r="H160" s="9">
        <v>10</v>
      </c>
      <c r="I160" s="9">
        <v>214</v>
      </c>
      <c r="J160" s="6">
        <f>IFERROR(Info_Camas[[#This Row],[Lineas]]/Info_Camas[[#This Row],[Cortinas]],"Pendiente")</f>
        <v>21.4</v>
      </c>
    </row>
    <row r="161" spans="1:10" hidden="1" x14ac:dyDescent="0.25">
      <c r="A161" t="str">
        <f>+_xlfn.CONCAT(Info_Camas[[#This Row],[Bloque]],Info_Camas[[#This Row],[Lado]],Info_Camas[[#This Row],[Cama]])</f>
        <v>01B080</v>
      </c>
      <c r="B161" t="s">
        <v>739</v>
      </c>
      <c r="C161" t="s">
        <v>14</v>
      </c>
      <c r="D161" t="s">
        <v>21</v>
      </c>
      <c r="E161" t="s">
        <v>86</v>
      </c>
      <c r="F161" t="s">
        <v>224</v>
      </c>
      <c r="G161">
        <v>58.625</v>
      </c>
      <c r="H161" s="9">
        <v>10</v>
      </c>
      <c r="I161" s="9">
        <v>203</v>
      </c>
      <c r="J161" s="6">
        <f>IFERROR(Info_Camas[[#This Row],[Lineas]]/Info_Camas[[#This Row],[Cortinas]],"Pendiente")</f>
        <v>20.3</v>
      </c>
    </row>
    <row r="162" spans="1:10" hidden="1" x14ac:dyDescent="0.25">
      <c r="A162" t="str">
        <f>+_xlfn.CONCAT(Info_Camas[[#This Row],[Bloque]],Info_Camas[[#This Row],[Lado]],Info_Camas[[#This Row],[Cama]])</f>
        <v>01A081</v>
      </c>
      <c r="B162" t="s">
        <v>739</v>
      </c>
      <c r="C162" t="s">
        <v>14</v>
      </c>
      <c r="D162" t="s">
        <v>15</v>
      </c>
      <c r="E162" t="s">
        <v>89</v>
      </c>
      <c r="F162" t="s">
        <v>226</v>
      </c>
      <c r="G162">
        <v>58.625</v>
      </c>
      <c r="H162" s="9">
        <v>10</v>
      </c>
      <c r="I162" s="9">
        <v>205</v>
      </c>
      <c r="J162" s="6">
        <f>IFERROR(Info_Camas[[#This Row],[Lineas]]/Info_Camas[[#This Row],[Cortinas]],"Pendiente")</f>
        <v>20.5</v>
      </c>
    </row>
    <row r="163" spans="1:10" hidden="1" x14ac:dyDescent="0.25">
      <c r="A163" t="str">
        <f>+_xlfn.CONCAT(Info_Camas[[#This Row],[Bloque]],Info_Camas[[#This Row],[Lado]],Info_Camas[[#This Row],[Cama]])</f>
        <v>01B081</v>
      </c>
      <c r="B163" t="s">
        <v>739</v>
      </c>
      <c r="C163" t="s">
        <v>14</v>
      </c>
      <c r="D163" t="s">
        <v>21</v>
      </c>
      <c r="E163" t="s">
        <v>89</v>
      </c>
      <c r="F163" t="s">
        <v>226</v>
      </c>
      <c r="G163">
        <v>58.625</v>
      </c>
      <c r="H163" s="9">
        <v>10</v>
      </c>
      <c r="I163" s="9">
        <v>207</v>
      </c>
      <c r="J163" s="6">
        <f>IFERROR(Info_Camas[[#This Row],[Lineas]]/Info_Camas[[#This Row],[Cortinas]],"Pendiente")</f>
        <v>20.7</v>
      </c>
    </row>
    <row r="164" spans="1:10" hidden="1" x14ac:dyDescent="0.25">
      <c r="A164" t="str">
        <f>+_xlfn.CONCAT(Info_Camas[[#This Row],[Bloque]],Info_Camas[[#This Row],[Lado]],Info_Camas[[#This Row],[Cama]])</f>
        <v>01A082</v>
      </c>
      <c r="B164" t="s">
        <v>739</v>
      </c>
      <c r="C164" t="s">
        <v>14</v>
      </c>
      <c r="D164" t="s">
        <v>15</v>
      </c>
      <c r="E164" t="s">
        <v>89</v>
      </c>
      <c r="F164" t="s">
        <v>229</v>
      </c>
      <c r="G164">
        <v>58.625</v>
      </c>
      <c r="H164" s="9">
        <v>10</v>
      </c>
      <c r="I164" s="9">
        <v>204</v>
      </c>
      <c r="J164" s="6">
        <f>IFERROR(Info_Camas[[#This Row],[Lineas]]/Info_Camas[[#This Row],[Cortinas]],"Pendiente")</f>
        <v>20.399999999999999</v>
      </c>
    </row>
    <row r="165" spans="1:10" hidden="1" x14ac:dyDescent="0.25">
      <c r="A165" t="str">
        <f>+_xlfn.CONCAT(Info_Camas[[#This Row],[Bloque]],Info_Camas[[#This Row],[Lado]],Info_Camas[[#This Row],[Cama]])</f>
        <v>01B082</v>
      </c>
      <c r="B165" t="s">
        <v>739</v>
      </c>
      <c r="C165" t="s">
        <v>14</v>
      </c>
      <c r="D165" t="s">
        <v>21</v>
      </c>
      <c r="E165" t="s">
        <v>89</v>
      </c>
      <c r="F165" t="s">
        <v>229</v>
      </c>
      <c r="G165">
        <v>58.625</v>
      </c>
      <c r="H165" s="9">
        <v>10</v>
      </c>
      <c r="I165" s="9">
        <v>206</v>
      </c>
      <c r="J165" s="6">
        <f>IFERROR(Info_Camas[[#This Row],[Lineas]]/Info_Camas[[#This Row],[Cortinas]],"Pendiente")</f>
        <v>20.6</v>
      </c>
    </row>
    <row r="166" spans="1:10" hidden="1" x14ac:dyDescent="0.25">
      <c r="A166" t="str">
        <f>+_xlfn.CONCAT(Info_Camas[[#This Row],[Bloque]],Info_Camas[[#This Row],[Lado]],Info_Camas[[#This Row],[Cama]])</f>
        <v>01A083</v>
      </c>
      <c r="B166" t="s">
        <v>739</v>
      </c>
      <c r="C166" t="s">
        <v>14</v>
      </c>
      <c r="D166" t="s">
        <v>15</v>
      </c>
      <c r="E166" t="s">
        <v>89</v>
      </c>
      <c r="F166" t="s">
        <v>231</v>
      </c>
      <c r="G166">
        <v>58.625</v>
      </c>
      <c r="H166" s="9">
        <v>10</v>
      </c>
      <c r="I166" s="9">
        <v>205</v>
      </c>
      <c r="J166" s="6">
        <f>IFERROR(Info_Camas[[#This Row],[Lineas]]/Info_Camas[[#This Row],[Cortinas]],"Pendiente")</f>
        <v>20.5</v>
      </c>
    </row>
    <row r="167" spans="1:10" hidden="1" x14ac:dyDescent="0.25">
      <c r="A167" t="str">
        <f>+_xlfn.CONCAT(Info_Camas[[#This Row],[Bloque]],Info_Camas[[#This Row],[Lado]],Info_Camas[[#This Row],[Cama]])</f>
        <v>01B083</v>
      </c>
      <c r="B167" t="s">
        <v>739</v>
      </c>
      <c r="C167" t="s">
        <v>14</v>
      </c>
      <c r="D167" t="s">
        <v>21</v>
      </c>
      <c r="E167" t="s">
        <v>89</v>
      </c>
      <c r="F167" t="s">
        <v>231</v>
      </c>
      <c r="G167">
        <v>58.625</v>
      </c>
      <c r="H167" s="9">
        <v>10</v>
      </c>
      <c r="I167" s="9">
        <v>208</v>
      </c>
      <c r="J167" s="6">
        <f>IFERROR(Info_Camas[[#This Row],[Lineas]]/Info_Camas[[#This Row],[Cortinas]],"Pendiente")</f>
        <v>20.8</v>
      </c>
    </row>
    <row r="168" spans="1:10" hidden="1" x14ac:dyDescent="0.25">
      <c r="A168" t="str">
        <f>+_xlfn.CONCAT(Info_Camas[[#This Row],[Bloque]],Info_Camas[[#This Row],[Lado]],Info_Camas[[#This Row],[Cama]])</f>
        <v>01A084</v>
      </c>
      <c r="B168" t="s">
        <v>739</v>
      </c>
      <c r="C168" t="s">
        <v>14</v>
      </c>
      <c r="D168" t="s">
        <v>15</v>
      </c>
      <c r="E168" t="s">
        <v>89</v>
      </c>
      <c r="F168" t="s">
        <v>233</v>
      </c>
      <c r="G168">
        <v>58.625</v>
      </c>
      <c r="H168" s="9">
        <v>10</v>
      </c>
      <c r="I168" s="9">
        <v>204</v>
      </c>
      <c r="J168" s="6">
        <f>IFERROR(Info_Camas[[#This Row],[Lineas]]/Info_Camas[[#This Row],[Cortinas]],"Pendiente")</f>
        <v>20.399999999999999</v>
      </c>
    </row>
    <row r="169" spans="1:10" hidden="1" x14ac:dyDescent="0.25">
      <c r="A169" t="str">
        <f>+_xlfn.CONCAT(Info_Camas[[#This Row],[Bloque]],Info_Camas[[#This Row],[Lado]],Info_Camas[[#This Row],[Cama]])</f>
        <v>01B084</v>
      </c>
      <c r="B169" t="s">
        <v>739</v>
      </c>
      <c r="C169" t="s">
        <v>14</v>
      </c>
      <c r="D169" t="s">
        <v>21</v>
      </c>
      <c r="E169" t="s">
        <v>89</v>
      </c>
      <c r="F169" t="s">
        <v>233</v>
      </c>
      <c r="G169">
        <v>58.625</v>
      </c>
      <c r="H169" s="9">
        <v>10</v>
      </c>
      <c r="I169" s="9">
        <v>207</v>
      </c>
      <c r="J169" s="6">
        <f>IFERROR(Info_Camas[[#This Row],[Lineas]]/Info_Camas[[#This Row],[Cortinas]],"Pendiente")</f>
        <v>20.7</v>
      </c>
    </row>
    <row r="170" spans="1:10" hidden="1" x14ac:dyDescent="0.25">
      <c r="A170" t="str">
        <f>+_xlfn.CONCAT(Info_Camas[[#This Row],[Bloque]],Info_Camas[[#This Row],[Lado]],Info_Camas[[#This Row],[Cama]])</f>
        <v>01A085</v>
      </c>
      <c r="B170" t="s">
        <v>739</v>
      </c>
      <c r="C170" t="s">
        <v>14</v>
      </c>
      <c r="D170" t="s">
        <v>15</v>
      </c>
      <c r="E170" t="s">
        <v>93</v>
      </c>
      <c r="F170" t="s">
        <v>235</v>
      </c>
      <c r="G170">
        <v>58.625</v>
      </c>
      <c r="H170" s="9">
        <v>10</v>
      </c>
      <c r="I170" s="9">
        <v>204</v>
      </c>
      <c r="J170" s="6">
        <f>IFERROR(Info_Camas[[#This Row],[Lineas]]/Info_Camas[[#This Row],[Cortinas]],"Pendiente")</f>
        <v>20.399999999999999</v>
      </c>
    </row>
    <row r="171" spans="1:10" hidden="1" x14ac:dyDescent="0.25">
      <c r="A171" t="str">
        <f>+_xlfn.CONCAT(Info_Camas[[#This Row],[Bloque]],Info_Camas[[#This Row],[Lado]],Info_Camas[[#This Row],[Cama]])</f>
        <v>01B085</v>
      </c>
      <c r="B171" t="s">
        <v>739</v>
      </c>
      <c r="C171" t="s">
        <v>14</v>
      </c>
      <c r="D171" t="s">
        <v>21</v>
      </c>
      <c r="E171" t="s">
        <v>93</v>
      </c>
      <c r="F171" t="s">
        <v>235</v>
      </c>
      <c r="G171">
        <v>58.625</v>
      </c>
      <c r="H171" s="9">
        <v>10</v>
      </c>
      <c r="I171" s="9">
        <v>206</v>
      </c>
      <c r="J171" s="6">
        <f>IFERROR(Info_Camas[[#This Row],[Lineas]]/Info_Camas[[#This Row],[Cortinas]],"Pendiente")</f>
        <v>20.6</v>
      </c>
    </row>
    <row r="172" spans="1:10" hidden="1" x14ac:dyDescent="0.25">
      <c r="A172" t="str">
        <f>+_xlfn.CONCAT(Info_Camas[[#This Row],[Bloque]],Info_Camas[[#This Row],[Lado]],Info_Camas[[#This Row],[Cama]])</f>
        <v>01A086</v>
      </c>
      <c r="B172" t="s">
        <v>739</v>
      </c>
      <c r="C172" t="s">
        <v>14</v>
      </c>
      <c r="D172" t="s">
        <v>15</v>
      </c>
      <c r="E172" t="s">
        <v>93</v>
      </c>
      <c r="F172" t="s">
        <v>238</v>
      </c>
      <c r="G172">
        <v>58.625</v>
      </c>
      <c r="H172" s="9">
        <v>10</v>
      </c>
      <c r="I172" s="9">
        <v>203</v>
      </c>
      <c r="J172" s="6">
        <f>IFERROR(Info_Camas[[#This Row],[Lineas]]/Info_Camas[[#This Row],[Cortinas]],"Pendiente")</f>
        <v>20.3</v>
      </c>
    </row>
    <row r="173" spans="1:10" hidden="1" x14ac:dyDescent="0.25">
      <c r="A173" t="str">
        <f>+_xlfn.CONCAT(Info_Camas[[#This Row],[Bloque]],Info_Camas[[#This Row],[Lado]],Info_Camas[[#This Row],[Cama]])</f>
        <v>01B086</v>
      </c>
      <c r="B173" t="s">
        <v>739</v>
      </c>
      <c r="C173" t="s">
        <v>14</v>
      </c>
      <c r="D173" t="s">
        <v>21</v>
      </c>
      <c r="E173" t="s">
        <v>93</v>
      </c>
      <c r="F173" t="s">
        <v>238</v>
      </c>
      <c r="G173">
        <v>58.625</v>
      </c>
      <c r="H173" s="9">
        <v>10</v>
      </c>
      <c r="I173" s="9">
        <v>207</v>
      </c>
      <c r="J173" s="6">
        <f>IFERROR(Info_Camas[[#This Row],[Lineas]]/Info_Camas[[#This Row],[Cortinas]],"Pendiente")</f>
        <v>20.7</v>
      </c>
    </row>
    <row r="174" spans="1:10" hidden="1" x14ac:dyDescent="0.25">
      <c r="A174" t="str">
        <f>+_xlfn.CONCAT(Info_Camas[[#This Row],[Bloque]],Info_Camas[[#This Row],[Lado]],Info_Camas[[#This Row],[Cama]])</f>
        <v>01A087</v>
      </c>
      <c r="B174" t="s">
        <v>739</v>
      </c>
      <c r="C174" t="s">
        <v>14</v>
      </c>
      <c r="D174" t="s">
        <v>15</v>
      </c>
      <c r="E174" t="s">
        <v>93</v>
      </c>
      <c r="F174" t="s">
        <v>240</v>
      </c>
      <c r="G174">
        <v>58.625</v>
      </c>
      <c r="H174" s="9">
        <v>10</v>
      </c>
      <c r="I174" s="9">
        <v>204</v>
      </c>
      <c r="J174" s="6">
        <f>IFERROR(Info_Camas[[#This Row],[Lineas]]/Info_Camas[[#This Row],[Cortinas]],"Pendiente")</f>
        <v>20.399999999999999</v>
      </c>
    </row>
    <row r="175" spans="1:10" hidden="1" x14ac:dyDescent="0.25">
      <c r="A175" t="str">
        <f>+_xlfn.CONCAT(Info_Camas[[#This Row],[Bloque]],Info_Camas[[#This Row],[Lado]],Info_Camas[[#This Row],[Cama]])</f>
        <v>01B087</v>
      </c>
      <c r="B175" t="s">
        <v>739</v>
      </c>
      <c r="C175" t="s">
        <v>14</v>
      </c>
      <c r="D175" t="s">
        <v>21</v>
      </c>
      <c r="E175" t="s">
        <v>93</v>
      </c>
      <c r="F175" t="s">
        <v>240</v>
      </c>
      <c r="G175">
        <v>58.625</v>
      </c>
      <c r="H175" s="9">
        <v>10</v>
      </c>
      <c r="I175" s="9">
        <v>207</v>
      </c>
      <c r="J175" s="6">
        <f>IFERROR(Info_Camas[[#This Row],[Lineas]]/Info_Camas[[#This Row],[Cortinas]],"Pendiente")</f>
        <v>20.7</v>
      </c>
    </row>
    <row r="176" spans="1:10" hidden="1" x14ac:dyDescent="0.25">
      <c r="A176" t="str">
        <f>+_xlfn.CONCAT(Info_Camas[[#This Row],[Bloque]],Info_Camas[[#This Row],[Lado]],Info_Camas[[#This Row],[Cama]])</f>
        <v>01A088</v>
      </c>
      <c r="B176" t="s">
        <v>739</v>
      </c>
      <c r="C176" t="s">
        <v>14</v>
      </c>
      <c r="D176" t="s">
        <v>15</v>
      </c>
      <c r="E176" t="s">
        <v>93</v>
      </c>
      <c r="F176" t="s">
        <v>242</v>
      </c>
      <c r="G176">
        <v>58.625</v>
      </c>
      <c r="H176" s="9">
        <v>10</v>
      </c>
      <c r="I176" s="9">
        <v>203</v>
      </c>
      <c r="J176" s="6">
        <f>IFERROR(Info_Camas[[#This Row],[Lineas]]/Info_Camas[[#This Row],[Cortinas]],"Pendiente")</f>
        <v>20.3</v>
      </c>
    </row>
    <row r="177" spans="1:10" hidden="1" x14ac:dyDescent="0.25">
      <c r="A177" t="str">
        <f>+_xlfn.CONCAT(Info_Camas[[#This Row],[Bloque]],Info_Camas[[#This Row],[Lado]],Info_Camas[[#This Row],[Cama]])</f>
        <v>01B088</v>
      </c>
      <c r="B177" t="s">
        <v>739</v>
      </c>
      <c r="C177" t="s">
        <v>14</v>
      </c>
      <c r="D177" t="s">
        <v>21</v>
      </c>
      <c r="E177" t="s">
        <v>93</v>
      </c>
      <c r="F177" t="s">
        <v>242</v>
      </c>
      <c r="G177">
        <v>51.919699999999999</v>
      </c>
      <c r="H177" s="9">
        <v>10</v>
      </c>
      <c r="I177" s="9">
        <v>208</v>
      </c>
      <c r="J177" s="6">
        <f>IFERROR(Info_Camas[[#This Row],[Lineas]]/Info_Camas[[#This Row],[Cortinas]],"Pendiente")</f>
        <v>20.8</v>
      </c>
    </row>
    <row r="178" spans="1:10" hidden="1" x14ac:dyDescent="0.25">
      <c r="A178" t="str">
        <f>+_xlfn.CONCAT(Info_Camas[[#This Row],[Bloque]],Info_Camas[[#This Row],[Lado]],Info_Camas[[#This Row],[Cama]])</f>
        <v>01A089</v>
      </c>
      <c r="B178" t="s">
        <v>739</v>
      </c>
      <c r="C178" t="s">
        <v>14</v>
      </c>
      <c r="D178" t="s">
        <v>15</v>
      </c>
      <c r="E178" t="s">
        <v>96</v>
      </c>
      <c r="F178" t="s">
        <v>244</v>
      </c>
      <c r="G178">
        <v>58.625</v>
      </c>
      <c r="H178" s="9">
        <v>10</v>
      </c>
      <c r="I178" s="9">
        <v>202</v>
      </c>
      <c r="J178" s="6">
        <f>IFERROR(Info_Camas[[#This Row],[Lineas]]/Info_Camas[[#This Row],[Cortinas]],"Pendiente")</f>
        <v>20.2</v>
      </c>
    </row>
    <row r="179" spans="1:10" hidden="1" x14ac:dyDescent="0.25">
      <c r="A179" t="str">
        <f>+_xlfn.CONCAT(Info_Camas[[#This Row],[Bloque]],Info_Camas[[#This Row],[Lado]],Info_Camas[[#This Row],[Cama]])</f>
        <v>01B089</v>
      </c>
      <c r="B179" t="s">
        <v>739</v>
      </c>
      <c r="C179" t="s">
        <v>14</v>
      </c>
      <c r="D179" t="s">
        <v>21</v>
      </c>
      <c r="E179" t="s">
        <v>96</v>
      </c>
      <c r="F179" t="s">
        <v>244</v>
      </c>
      <c r="G179">
        <v>58.625</v>
      </c>
      <c r="H179" s="9">
        <v>10</v>
      </c>
      <c r="I179" s="9">
        <v>196</v>
      </c>
      <c r="J179" s="6">
        <f>IFERROR(Info_Camas[[#This Row],[Lineas]]/Info_Camas[[#This Row],[Cortinas]],"Pendiente")</f>
        <v>19.600000000000001</v>
      </c>
    </row>
    <row r="180" spans="1:10" hidden="1" x14ac:dyDescent="0.25">
      <c r="A180" t="str">
        <f>+_xlfn.CONCAT(Info_Camas[[#This Row],[Bloque]],Info_Camas[[#This Row],[Lado]],Info_Camas[[#This Row],[Cama]])</f>
        <v>01A090</v>
      </c>
      <c r="B180" t="s">
        <v>739</v>
      </c>
      <c r="C180" t="s">
        <v>14</v>
      </c>
      <c r="D180" t="s">
        <v>15</v>
      </c>
      <c r="E180" t="s">
        <v>96</v>
      </c>
      <c r="F180" t="s">
        <v>246</v>
      </c>
      <c r="G180">
        <v>58.625</v>
      </c>
      <c r="H180" s="9">
        <v>10</v>
      </c>
      <c r="I180" s="9">
        <v>205</v>
      </c>
      <c r="J180" s="6">
        <f>IFERROR(Info_Camas[[#This Row],[Lineas]]/Info_Camas[[#This Row],[Cortinas]],"Pendiente")</f>
        <v>20.5</v>
      </c>
    </row>
    <row r="181" spans="1:10" hidden="1" x14ac:dyDescent="0.25">
      <c r="A181" t="str">
        <f>+_xlfn.CONCAT(Info_Camas[[#This Row],[Bloque]],Info_Camas[[#This Row],[Lado]],Info_Camas[[#This Row],[Cama]])</f>
        <v>01B090</v>
      </c>
      <c r="B181" t="s">
        <v>739</v>
      </c>
      <c r="C181" t="s">
        <v>14</v>
      </c>
      <c r="D181" t="s">
        <v>21</v>
      </c>
      <c r="E181" t="s">
        <v>96</v>
      </c>
      <c r="F181" t="s">
        <v>246</v>
      </c>
      <c r="G181">
        <v>58.625</v>
      </c>
      <c r="H181" s="9">
        <v>10</v>
      </c>
      <c r="I181" s="9">
        <v>205</v>
      </c>
      <c r="J181" s="6">
        <f>IFERROR(Info_Camas[[#This Row],[Lineas]]/Info_Camas[[#This Row],[Cortinas]],"Pendiente")</f>
        <v>20.5</v>
      </c>
    </row>
    <row r="182" spans="1:10" hidden="1" x14ac:dyDescent="0.25">
      <c r="A182" t="str">
        <f>+_xlfn.CONCAT(Info_Camas[[#This Row],[Bloque]],Info_Camas[[#This Row],[Lado]],Info_Camas[[#This Row],[Cama]])</f>
        <v>01A091</v>
      </c>
      <c r="B182" t="s">
        <v>739</v>
      </c>
      <c r="C182" t="s">
        <v>14</v>
      </c>
      <c r="D182" t="s">
        <v>15</v>
      </c>
      <c r="E182" t="s">
        <v>96</v>
      </c>
      <c r="F182" t="s">
        <v>248</v>
      </c>
      <c r="G182">
        <v>58.625</v>
      </c>
      <c r="H182" s="9">
        <v>10</v>
      </c>
      <c r="I182" s="9">
        <v>203</v>
      </c>
      <c r="J182" s="6">
        <f>IFERROR(Info_Camas[[#This Row],[Lineas]]/Info_Camas[[#This Row],[Cortinas]],"Pendiente")</f>
        <v>20.3</v>
      </c>
    </row>
    <row r="183" spans="1:10" hidden="1" x14ac:dyDescent="0.25">
      <c r="A183" t="str">
        <f>+_xlfn.CONCAT(Info_Camas[[#This Row],[Bloque]],Info_Camas[[#This Row],[Lado]],Info_Camas[[#This Row],[Cama]])</f>
        <v>01B091</v>
      </c>
      <c r="B183" t="s">
        <v>739</v>
      </c>
      <c r="C183" t="s">
        <v>14</v>
      </c>
      <c r="D183" t="s">
        <v>21</v>
      </c>
      <c r="E183" t="s">
        <v>96</v>
      </c>
      <c r="F183" t="s">
        <v>248</v>
      </c>
      <c r="G183">
        <v>58.625</v>
      </c>
      <c r="H183" s="9">
        <v>10</v>
      </c>
      <c r="I183" s="9">
        <v>204</v>
      </c>
      <c r="J183" s="6">
        <f>IFERROR(Info_Camas[[#This Row],[Lineas]]/Info_Camas[[#This Row],[Cortinas]],"Pendiente")</f>
        <v>20.399999999999999</v>
      </c>
    </row>
    <row r="184" spans="1:10" hidden="1" x14ac:dyDescent="0.25">
      <c r="A184" t="str">
        <f>+_xlfn.CONCAT(Info_Camas[[#This Row],[Bloque]],Info_Camas[[#This Row],[Lado]],Info_Camas[[#This Row],[Cama]])</f>
        <v>01A092</v>
      </c>
      <c r="B184" t="s">
        <v>739</v>
      </c>
      <c r="C184" t="s">
        <v>14</v>
      </c>
      <c r="D184" t="s">
        <v>15</v>
      </c>
      <c r="E184" t="s">
        <v>96</v>
      </c>
      <c r="F184" t="s">
        <v>250</v>
      </c>
      <c r="G184">
        <v>58.625</v>
      </c>
      <c r="H184" s="9">
        <v>10</v>
      </c>
      <c r="I184" s="9">
        <v>204</v>
      </c>
      <c r="J184" s="6">
        <f>IFERROR(Info_Camas[[#This Row],[Lineas]]/Info_Camas[[#This Row],[Cortinas]],"Pendiente")</f>
        <v>20.399999999999999</v>
      </c>
    </row>
    <row r="185" spans="1:10" hidden="1" x14ac:dyDescent="0.25">
      <c r="A185" t="str">
        <f>+_xlfn.CONCAT(Info_Camas[[#This Row],[Bloque]],Info_Camas[[#This Row],[Lado]],Info_Camas[[#This Row],[Cama]])</f>
        <v>01B092</v>
      </c>
      <c r="B185" t="s">
        <v>739</v>
      </c>
      <c r="C185" t="s">
        <v>14</v>
      </c>
      <c r="D185" t="s">
        <v>21</v>
      </c>
      <c r="E185" t="s">
        <v>96</v>
      </c>
      <c r="F185" t="s">
        <v>250</v>
      </c>
      <c r="G185">
        <v>58.625</v>
      </c>
      <c r="H185" s="9">
        <v>10</v>
      </c>
      <c r="I185" s="9">
        <v>206</v>
      </c>
      <c r="J185" s="6">
        <f>IFERROR(Info_Camas[[#This Row],[Lineas]]/Info_Camas[[#This Row],[Cortinas]],"Pendiente")</f>
        <v>20.6</v>
      </c>
    </row>
    <row r="186" spans="1:10" hidden="1" x14ac:dyDescent="0.25">
      <c r="A186" t="str">
        <f>+_xlfn.CONCAT(Info_Camas[[#This Row],[Bloque]],Info_Camas[[#This Row],[Lado]],Info_Camas[[#This Row],[Cama]])</f>
        <v>01A093</v>
      </c>
      <c r="B186" t="s">
        <v>739</v>
      </c>
      <c r="C186" t="s">
        <v>14</v>
      </c>
      <c r="D186" t="s">
        <v>15</v>
      </c>
      <c r="E186" t="s">
        <v>99</v>
      </c>
      <c r="F186" t="s">
        <v>252</v>
      </c>
      <c r="G186">
        <v>58.625</v>
      </c>
      <c r="H186" s="9">
        <v>10</v>
      </c>
      <c r="I186" s="9">
        <v>200</v>
      </c>
      <c r="J186" s="6">
        <f>IFERROR(Info_Camas[[#This Row],[Lineas]]/Info_Camas[[#This Row],[Cortinas]],"Pendiente")</f>
        <v>20</v>
      </c>
    </row>
    <row r="187" spans="1:10" hidden="1" x14ac:dyDescent="0.25">
      <c r="A187" t="str">
        <f>+_xlfn.CONCAT(Info_Camas[[#This Row],[Bloque]],Info_Camas[[#This Row],[Lado]],Info_Camas[[#This Row],[Cama]])</f>
        <v>01B093</v>
      </c>
      <c r="B187" t="s">
        <v>739</v>
      </c>
      <c r="C187" t="s">
        <v>14</v>
      </c>
      <c r="D187" t="s">
        <v>21</v>
      </c>
      <c r="E187" t="s">
        <v>99</v>
      </c>
      <c r="F187" t="s">
        <v>252</v>
      </c>
      <c r="G187">
        <v>58.625</v>
      </c>
      <c r="H187" s="9">
        <v>10</v>
      </c>
      <c r="I187" s="9">
        <v>209</v>
      </c>
      <c r="J187" s="6">
        <f>IFERROR(Info_Camas[[#This Row],[Lineas]]/Info_Camas[[#This Row],[Cortinas]],"Pendiente")</f>
        <v>20.9</v>
      </c>
    </row>
    <row r="188" spans="1:10" hidden="1" x14ac:dyDescent="0.25">
      <c r="A188" t="str">
        <f>+_xlfn.CONCAT(Info_Camas[[#This Row],[Bloque]],Info_Camas[[#This Row],[Lado]],Info_Camas[[#This Row],[Cama]])</f>
        <v>01A094</v>
      </c>
      <c r="B188" t="s">
        <v>739</v>
      </c>
      <c r="C188" t="s">
        <v>14</v>
      </c>
      <c r="D188" t="s">
        <v>15</v>
      </c>
      <c r="E188" t="s">
        <v>99</v>
      </c>
      <c r="F188" t="s">
        <v>254</v>
      </c>
      <c r="G188">
        <v>58.625</v>
      </c>
      <c r="H188" s="9">
        <v>10</v>
      </c>
      <c r="I188" s="9">
        <v>202</v>
      </c>
      <c r="J188" s="6">
        <f>IFERROR(Info_Camas[[#This Row],[Lineas]]/Info_Camas[[#This Row],[Cortinas]],"Pendiente")</f>
        <v>20.2</v>
      </c>
    </row>
    <row r="189" spans="1:10" hidden="1" x14ac:dyDescent="0.25">
      <c r="A189" t="str">
        <f>+_xlfn.CONCAT(Info_Camas[[#This Row],[Bloque]],Info_Camas[[#This Row],[Lado]],Info_Camas[[#This Row],[Cama]])</f>
        <v>01B094</v>
      </c>
      <c r="B189" t="s">
        <v>739</v>
      </c>
      <c r="C189" t="s">
        <v>14</v>
      </c>
      <c r="D189" t="s">
        <v>21</v>
      </c>
      <c r="E189" t="s">
        <v>99</v>
      </c>
      <c r="F189" t="s">
        <v>254</v>
      </c>
      <c r="G189">
        <v>58.625</v>
      </c>
      <c r="H189" s="9">
        <v>10</v>
      </c>
      <c r="I189" s="9">
        <v>211</v>
      </c>
      <c r="J189" s="6">
        <f>IFERROR(Info_Camas[[#This Row],[Lineas]]/Info_Camas[[#This Row],[Cortinas]],"Pendiente")</f>
        <v>21.1</v>
      </c>
    </row>
    <row r="190" spans="1:10" hidden="1" x14ac:dyDescent="0.25">
      <c r="A190" t="str">
        <f>+_xlfn.CONCAT(Info_Camas[[#This Row],[Bloque]],Info_Camas[[#This Row],[Lado]],Info_Camas[[#This Row],[Cama]])</f>
        <v>01A095</v>
      </c>
      <c r="B190" t="s">
        <v>739</v>
      </c>
      <c r="C190" t="s">
        <v>14</v>
      </c>
      <c r="D190" t="s">
        <v>15</v>
      </c>
      <c r="E190" t="s">
        <v>99</v>
      </c>
      <c r="F190" t="s">
        <v>256</v>
      </c>
      <c r="G190">
        <v>58.625</v>
      </c>
      <c r="H190" s="9">
        <v>10</v>
      </c>
      <c r="I190" s="9">
        <v>200</v>
      </c>
      <c r="J190" s="6">
        <f>IFERROR(Info_Camas[[#This Row],[Lineas]]/Info_Camas[[#This Row],[Cortinas]],"Pendiente")</f>
        <v>20</v>
      </c>
    </row>
    <row r="191" spans="1:10" hidden="1" x14ac:dyDescent="0.25">
      <c r="A191" t="str">
        <f>+_xlfn.CONCAT(Info_Camas[[#This Row],[Bloque]],Info_Camas[[#This Row],[Lado]],Info_Camas[[#This Row],[Cama]])</f>
        <v>01B095</v>
      </c>
      <c r="B191" t="s">
        <v>739</v>
      </c>
      <c r="C191" t="s">
        <v>14</v>
      </c>
      <c r="D191" t="s">
        <v>21</v>
      </c>
      <c r="E191" t="s">
        <v>99</v>
      </c>
      <c r="F191" t="s">
        <v>256</v>
      </c>
      <c r="G191">
        <v>14.6591</v>
      </c>
      <c r="H191" s="9">
        <v>10</v>
      </c>
      <c r="I191" s="9">
        <v>209</v>
      </c>
      <c r="J191" s="6">
        <f>IFERROR(Info_Camas[[#This Row],[Lineas]]/Info_Camas[[#This Row],[Cortinas]],"Pendiente")</f>
        <v>20.9</v>
      </c>
    </row>
    <row r="192" spans="1:10" hidden="1" x14ac:dyDescent="0.25">
      <c r="A192" t="str">
        <f>+_xlfn.CONCAT(Info_Camas[[#This Row],[Bloque]],Info_Camas[[#This Row],[Lado]],Info_Camas[[#This Row],[Cama]])</f>
        <v>01A096</v>
      </c>
      <c r="B192" t="s">
        <v>739</v>
      </c>
      <c r="C192" t="s">
        <v>14</v>
      </c>
      <c r="D192" t="s">
        <v>15</v>
      </c>
      <c r="E192" t="s">
        <v>99</v>
      </c>
      <c r="F192" t="s">
        <v>258</v>
      </c>
      <c r="G192">
        <v>58.625</v>
      </c>
      <c r="H192" s="9">
        <v>10</v>
      </c>
      <c r="I192" s="9">
        <v>204</v>
      </c>
      <c r="J192" s="6">
        <f>IFERROR(Info_Camas[[#This Row],[Lineas]]/Info_Camas[[#This Row],[Cortinas]],"Pendiente")</f>
        <v>20.399999999999999</v>
      </c>
    </row>
    <row r="193" spans="1:10" hidden="1" x14ac:dyDescent="0.25">
      <c r="A193" t="str">
        <f>+_xlfn.CONCAT(Info_Camas[[#This Row],[Bloque]],Info_Camas[[#This Row],[Lado]],Info_Camas[[#This Row],[Cama]])</f>
        <v>01B096</v>
      </c>
      <c r="B193" t="s">
        <v>739</v>
      </c>
      <c r="C193" t="s">
        <v>14</v>
      </c>
      <c r="D193" t="s">
        <v>21</v>
      </c>
      <c r="E193" t="s">
        <v>99</v>
      </c>
      <c r="F193" t="s">
        <v>258</v>
      </c>
      <c r="G193">
        <v>58.625</v>
      </c>
      <c r="H193" s="9">
        <v>10</v>
      </c>
      <c r="I193" s="9">
        <v>207</v>
      </c>
      <c r="J193" s="6">
        <f>IFERROR(Info_Camas[[#This Row],[Lineas]]/Info_Camas[[#This Row],[Cortinas]],"Pendiente")</f>
        <v>20.7</v>
      </c>
    </row>
    <row r="194" spans="1:10" hidden="1" x14ac:dyDescent="0.25">
      <c r="A194" t="str">
        <f>+_xlfn.CONCAT(Info_Camas[[#This Row],[Bloque]],Info_Camas[[#This Row],[Lado]],Info_Camas[[#This Row],[Cama]])</f>
        <v>01A097</v>
      </c>
      <c r="B194" t="s">
        <v>739</v>
      </c>
      <c r="C194" t="s">
        <v>14</v>
      </c>
      <c r="D194" t="s">
        <v>15</v>
      </c>
      <c r="E194" t="s">
        <v>102</v>
      </c>
      <c r="F194" t="s">
        <v>260</v>
      </c>
      <c r="G194">
        <v>52.757899999999999</v>
      </c>
      <c r="H194" s="9">
        <v>10</v>
      </c>
      <c r="I194" s="9">
        <v>203</v>
      </c>
      <c r="J194" s="6">
        <f>IFERROR(Info_Camas[[#This Row],[Lineas]]/Info_Camas[[#This Row],[Cortinas]],"Pendiente")</f>
        <v>20.3</v>
      </c>
    </row>
    <row r="195" spans="1:10" hidden="1" x14ac:dyDescent="0.25">
      <c r="A195" t="str">
        <f>+_xlfn.CONCAT(Info_Camas[[#This Row],[Bloque]],Info_Camas[[#This Row],[Lado]],Info_Camas[[#This Row],[Cama]])</f>
        <v>01B097</v>
      </c>
      <c r="B195" t="s">
        <v>739</v>
      </c>
      <c r="C195" t="s">
        <v>14</v>
      </c>
      <c r="D195" t="s">
        <v>21</v>
      </c>
      <c r="E195" t="s">
        <v>102</v>
      </c>
      <c r="F195" t="s">
        <v>260</v>
      </c>
      <c r="G195">
        <v>58.625</v>
      </c>
      <c r="H195" s="9">
        <v>10</v>
      </c>
      <c r="I195" s="9">
        <v>207</v>
      </c>
      <c r="J195" s="6">
        <f>IFERROR(Info_Camas[[#This Row],[Lineas]]/Info_Camas[[#This Row],[Cortinas]],"Pendiente")</f>
        <v>20.7</v>
      </c>
    </row>
    <row r="196" spans="1:10" hidden="1" x14ac:dyDescent="0.25">
      <c r="A196" t="str">
        <f>+_xlfn.CONCAT(Info_Camas[[#This Row],[Bloque]],Info_Camas[[#This Row],[Lado]],Info_Camas[[#This Row],[Cama]])</f>
        <v>01A098</v>
      </c>
      <c r="B196" t="s">
        <v>739</v>
      </c>
      <c r="C196" t="s">
        <v>14</v>
      </c>
      <c r="D196" t="s">
        <v>15</v>
      </c>
      <c r="E196" t="s">
        <v>102</v>
      </c>
      <c r="F196" t="s">
        <v>262</v>
      </c>
      <c r="G196">
        <v>58.625</v>
      </c>
      <c r="H196" s="9">
        <v>10</v>
      </c>
      <c r="I196" s="9">
        <v>202</v>
      </c>
      <c r="J196" s="6">
        <f>IFERROR(Info_Camas[[#This Row],[Lineas]]/Info_Camas[[#This Row],[Cortinas]],"Pendiente")</f>
        <v>20.2</v>
      </c>
    </row>
    <row r="197" spans="1:10" hidden="1" x14ac:dyDescent="0.25">
      <c r="A197" t="str">
        <f>+_xlfn.CONCAT(Info_Camas[[#This Row],[Bloque]],Info_Camas[[#This Row],[Lado]],Info_Camas[[#This Row],[Cama]])</f>
        <v>01B098</v>
      </c>
      <c r="B197" t="s">
        <v>739</v>
      </c>
      <c r="C197" t="s">
        <v>14</v>
      </c>
      <c r="D197" t="s">
        <v>21</v>
      </c>
      <c r="E197" t="s">
        <v>102</v>
      </c>
      <c r="F197" t="s">
        <v>262</v>
      </c>
      <c r="G197">
        <v>38.898200000000003</v>
      </c>
      <c r="H197" s="9">
        <v>10</v>
      </c>
      <c r="I197" s="9">
        <v>207</v>
      </c>
      <c r="J197" s="6">
        <f>IFERROR(Info_Camas[[#This Row],[Lineas]]/Info_Camas[[#This Row],[Cortinas]],"Pendiente")</f>
        <v>20.7</v>
      </c>
    </row>
    <row r="198" spans="1:10" hidden="1" x14ac:dyDescent="0.25">
      <c r="A198" t="str">
        <f>+_xlfn.CONCAT(Info_Camas[[#This Row],[Bloque]],Info_Camas[[#This Row],[Lado]],Info_Camas[[#This Row],[Cama]])</f>
        <v>01A099</v>
      </c>
      <c r="B198" t="s">
        <v>739</v>
      </c>
      <c r="C198" t="s">
        <v>14</v>
      </c>
      <c r="D198" t="s">
        <v>15</v>
      </c>
      <c r="E198" t="s">
        <v>102</v>
      </c>
      <c r="F198" t="s">
        <v>264</v>
      </c>
      <c r="G198">
        <v>58.625</v>
      </c>
      <c r="H198" s="9">
        <v>10</v>
      </c>
      <c r="I198" s="9">
        <v>201</v>
      </c>
      <c r="J198" s="6">
        <f>IFERROR(Info_Camas[[#This Row],[Lineas]]/Info_Camas[[#This Row],[Cortinas]],"Pendiente")</f>
        <v>20.100000000000001</v>
      </c>
    </row>
    <row r="199" spans="1:10" hidden="1" x14ac:dyDescent="0.25">
      <c r="A199" t="str">
        <f>+_xlfn.CONCAT(Info_Camas[[#This Row],[Bloque]],Info_Camas[[#This Row],[Lado]],Info_Camas[[#This Row],[Cama]])</f>
        <v>01B099</v>
      </c>
      <c r="B199" t="s">
        <v>739</v>
      </c>
      <c r="C199" t="s">
        <v>14</v>
      </c>
      <c r="D199" t="s">
        <v>21</v>
      </c>
      <c r="E199" t="s">
        <v>102</v>
      </c>
      <c r="F199" t="s">
        <v>264</v>
      </c>
      <c r="G199">
        <v>58.625</v>
      </c>
      <c r="H199" s="9">
        <v>10</v>
      </c>
      <c r="I199" s="9">
        <v>207</v>
      </c>
      <c r="J199" s="6">
        <f>IFERROR(Info_Camas[[#This Row],[Lineas]]/Info_Camas[[#This Row],[Cortinas]],"Pendiente")</f>
        <v>20.7</v>
      </c>
    </row>
    <row r="200" spans="1:10" hidden="1" x14ac:dyDescent="0.25">
      <c r="A200" t="str">
        <f>+_xlfn.CONCAT(Info_Camas[[#This Row],[Bloque]],Info_Camas[[#This Row],[Lado]],Info_Camas[[#This Row],[Cama]])</f>
        <v>01A100</v>
      </c>
      <c r="B200" t="s">
        <v>739</v>
      </c>
      <c r="C200" t="s">
        <v>14</v>
      </c>
      <c r="D200" t="s">
        <v>15</v>
      </c>
      <c r="E200" t="s">
        <v>102</v>
      </c>
      <c r="F200" t="s">
        <v>266</v>
      </c>
      <c r="G200">
        <v>58.625</v>
      </c>
      <c r="H200" s="9">
        <v>10</v>
      </c>
      <c r="I200" s="9">
        <v>201</v>
      </c>
      <c r="J200" s="6">
        <f>IFERROR(Info_Camas[[#This Row],[Lineas]]/Info_Camas[[#This Row],[Cortinas]],"Pendiente")</f>
        <v>20.100000000000001</v>
      </c>
    </row>
    <row r="201" spans="1:10" hidden="1" x14ac:dyDescent="0.25">
      <c r="A201" t="str">
        <f>+_xlfn.CONCAT(Info_Camas[[#This Row],[Bloque]],Info_Camas[[#This Row],[Lado]],Info_Camas[[#This Row],[Cama]])</f>
        <v>01B100</v>
      </c>
      <c r="B201" t="s">
        <v>739</v>
      </c>
      <c r="C201" t="s">
        <v>14</v>
      </c>
      <c r="D201" t="s">
        <v>21</v>
      </c>
      <c r="E201" t="s">
        <v>102</v>
      </c>
      <c r="F201" t="s">
        <v>266</v>
      </c>
      <c r="G201">
        <v>58.625</v>
      </c>
      <c r="H201" s="9">
        <v>10</v>
      </c>
      <c r="I201" s="9">
        <v>207</v>
      </c>
      <c r="J201" s="6">
        <f>IFERROR(Info_Camas[[#This Row],[Lineas]]/Info_Camas[[#This Row],[Cortinas]],"Pendiente")</f>
        <v>20.7</v>
      </c>
    </row>
    <row r="202" spans="1:10" hidden="1" x14ac:dyDescent="0.25">
      <c r="A202" t="str">
        <f>+_xlfn.CONCAT(Info_Camas[[#This Row],[Bloque]],Info_Camas[[#This Row],[Lado]],Info_Camas[[#This Row],[Cama]])</f>
        <v>01A101</v>
      </c>
      <c r="B202" t="s">
        <v>739</v>
      </c>
      <c r="C202" t="s">
        <v>14</v>
      </c>
      <c r="D202" t="s">
        <v>15</v>
      </c>
      <c r="E202" t="s">
        <v>105</v>
      </c>
      <c r="F202" t="s">
        <v>268</v>
      </c>
      <c r="G202">
        <v>58.625</v>
      </c>
      <c r="H202" s="9">
        <v>10</v>
      </c>
      <c r="I202" s="9">
        <v>213</v>
      </c>
      <c r="J202" s="6">
        <f>IFERROR(Info_Camas[[#This Row],[Lineas]]/Info_Camas[[#This Row],[Cortinas]],"Pendiente")</f>
        <v>21.3</v>
      </c>
    </row>
    <row r="203" spans="1:10" hidden="1" x14ac:dyDescent="0.25">
      <c r="A203" t="str">
        <f>+_xlfn.CONCAT(Info_Camas[[#This Row],[Bloque]],Info_Camas[[#This Row],[Lado]],Info_Camas[[#This Row],[Cama]])</f>
        <v>01B101</v>
      </c>
      <c r="B203" t="s">
        <v>739</v>
      </c>
      <c r="C203" t="s">
        <v>14</v>
      </c>
      <c r="D203" t="s">
        <v>21</v>
      </c>
      <c r="E203" t="s">
        <v>105</v>
      </c>
      <c r="F203" t="s">
        <v>268</v>
      </c>
      <c r="G203">
        <v>58.625</v>
      </c>
      <c r="H203" s="9">
        <v>10</v>
      </c>
      <c r="I203" s="9">
        <v>200</v>
      </c>
      <c r="J203" s="6">
        <f>IFERROR(Info_Camas[[#This Row],[Lineas]]/Info_Camas[[#This Row],[Cortinas]],"Pendiente")</f>
        <v>20</v>
      </c>
    </row>
    <row r="204" spans="1:10" hidden="1" x14ac:dyDescent="0.25">
      <c r="A204" t="str">
        <f>+_xlfn.CONCAT(Info_Camas[[#This Row],[Bloque]],Info_Camas[[#This Row],[Lado]],Info_Camas[[#This Row],[Cama]])</f>
        <v>01A102</v>
      </c>
      <c r="B204" t="s">
        <v>739</v>
      </c>
      <c r="C204" t="s">
        <v>14</v>
      </c>
      <c r="D204" t="s">
        <v>15</v>
      </c>
      <c r="E204" t="s">
        <v>105</v>
      </c>
      <c r="F204" t="s">
        <v>270</v>
      </c>
      <c r="G204">
        <v>44.103099999999998</v>
      </c>
      <c r="H204" s="9">
        <v>10</v>
      </c>
      <c r="I204" s="9">
        <v>214</v>
      </c>
      <c r="J204" s="6">
        <f>IFERROR(Info_Camas[[#This Row],[Lineas]]/Info_Camas[[#This Row],[Cortinas]],"Pendiente")</f>
        <v>21.4</v>
      </c>
    </row>
    <row r="205" spans="1:10" hidden="1" x14ac:dyDescent="0.25">
      <c r="A205" t="str">
        <f>+_xlfn.CONCAT(Info_Camas[[#This Row],[Bloque]],Info_Camas[[#This Row],[Lado]],Info_Camas[[#This Row],[Cama]])</f>
        <v>01B102</v>
      </c>
      <c r="B205" t="s">
        <v>739</v>
      </c>
      <c r="C205" t="s">
        <v>14</v>
      </c>
      <c r="D205" t="s">
        <v>21</v>
      </c>
      <c r="E205" t="s">
        <v>105</v>
      </c>
      <c r="F205" t="s">
        <v>270</v>
      </c>
      <c r="G205">
        <v>58.625</v>
      </c>
      <c r="H205" s="9">
        <v>10</v>
      </c>
      <c r="I205" s="9">
        <v>200</v>
      </c>
      <c r="J205" s="6">
        <f>IFERROR(Info_Camas[[#This Row],[Lineas]]/Info_Camas[[#This Row],[Cortinas]],"Pendiente")</f>
        <v>20</v>
      </c>
    </row>
    <row r="206" spans="1:10" hidden="1" x14ac:dyDescent="0.25">
      <c r="A206" t="str">
        <f>+_xlfn.CONCAT(Info_Camas[[#This Row],[Bloque]],Info_Camas[[#This Row],[Lado]],Info_Camas[[#This Row],[Cama]])</f>
        <v>01A103</v>
      </c>
      <c r="B206" t="s">
        <v>739</v>
      </c>
      <c r="C206" t="s">
        <v>14</v>
      </c>
      <c r="D206" t="s">
        <v>15</v>
      </c>
      <c r="E206" t="s">
        <v>105</v>
      </c>
      <c r="F206" t="s">
        <v>272</v>
      </c>
      <c r="G206">
        <v>58.625</v>
      </c>
      <c r="H206" s="9">
        <v>10</v>
      </c>
      <c r="I206" s="9">
        <v>211</v>
      </c>
      <c r="J206" s="6">
        <f>IFERROR(Info_Camas[[#This Row],[Lineas]]/Info_Camas[[#This Row],[Cortinas]],"Pendiente")</f>
        <v>21.1</v>
      </c>
    </row>
    <row r="207" spans="1:10" hidden="1" x14ac:dyDescent="0.25">
      <c r="A207" t="str">
        <f>+_xlfn.CONCAT(Info_Camas[[#This Row],[Bloque]],Info_Camas[[#This Row],[Lado]],Info_Camas[[#This Row],[Cama]])</f>
        <v>01B103</v>
      </c>
      <c r="B207" t="s">
        <v>739</v>
      </c>
      <c r="C207" t="s">
        <v>14</v>
      </c>
      <c r="D207" t="s">
        <v>21</v>
      </c>
      <c r="E207" t="s">
        <v>105</v>
      </c>
      <c r="F207" t="s">
        <v>272</v>
      </c>
      <c r="G207">
        <v>58.625</v>
      </c>
      <c r="H207" s="9">
        <v>10</v>
      </c>
      <c r="I207" s="9">
        <v>200</v>
      </c>
      <c r="J207" s="6">
        <f>IFERROR(Info_Camas[[#This Row],[Lineas]]/Info_Camas[[#This Row],[Cortinas]],"Pendiente")</f>
        <v>20</v>
      </c>
    </row>
    <row r="208" spans="1:10" hidden="1" x14ac:dyDescent="0.25">
      <c r="A208" t="str">
        <f>+_xlfn.CONCAT(Info_Camas[[#This Row],[Bloque]],Info_Camas[[#This Row],[Lado]],Info_Camas[[#This Row],[Cama]])</f>
        <v>01A104</v>
      </c>
      <c r="B208" t="s">
        <v>739</v>
      </c>
      <c r="C208" t="s">
        <v>14</v>
      </c>
      <c r="D208" t="s">
        <v>15</v>
      </c>
      <c r="E208" t="s">
        <v>105</v>
      </c>
      <c r="F208" t="s">
        <v>274</v>
      </c>
      <c r="G208">
        <v>58.625</v>
      </c>
      <c r="H208" s="9">
        <v>10</v>
      </c>
      <c r="I208" s="9">
        <v>212</v>
      </c>
      <c r="J208" s="6">
        <f>IFERROR(Info_Camas[[#This Row],[Lineas]]/Info_Camas[[#This Row],[Cortinas]],"Pendiente")</f>
        <v>21.2</v>
      </c>
    </row>
    <row r="209" spans="1:10" hidden="1" x14ac:dyDescent="0.25">
      <c r="A209" t="str">
        <f>+_xlfn.CONCAT(Info_Camas[[#This Row],[Bloque]],Info_Camas[[#This Row],[Lado]],Info_Camas[[#This Row],[Cama]])</f>
        <v>01B104</v>
      </c>
      <c r="B209" t="s">
        <v>739</v>
      </c>
      <c r="C209" t="s">
        <v>14</v>
      </c>
      <c r="D209" t="s">
        <v>21</v>
      </c>
      <c r="E209" t="s">
        <v>105</v>
      </c>
      <c r="F209" t="s">
        <v>274</v>
      </c>
      <c r="G209">
        <v>11.725</v>
      </c>
      <c r="H209" s="9">
        <v>10</v>
      </c>
      <c r="I209" s="9">
        <v>199</v>
      </c>
      <c r="J209" s="6">
        <f>IFERROR(Info_Camas[[#This Row],[Lineas]]/Info_Camas[[#This Row],[Cortinas]],"Pendiente")</f>
        <v>19.899999999999999</v>
      </c>
    </row>
    <row r="210" spans="1:10" hidden="1" x14ac:dyDescent="0.25">
      <c r="A210" t="str">
        <f>+_xlfn.CONCAT(Info_Camas[[#This Row],[Bloque]],Info_Camas[[#This Row],[Lado]],Info_Camas[[#This Row],[Cama]])</f>
        <v>01A105</v>
      </c>
      <c r="B210" t="s">
        <v>739</v>
      </c>
      <c r="C210" t="s">
        <v>14</v>
      </c>
      <c r="D210" t="s">
        <v>15</v>
      </c>
      <c r="E210" t="s">
        <v>108</v>
      </c>
      <c r="F210" t="s">
        <v>276</v>
      </c>
      <c r="G210">
        <v>58.625</v>
      </c>
      <c r="H210" s="9">
        <v>10</v>
      </c>
      <c r="I210" s="9">
        <v>200</v>
      </c>
      <c r="J210" s="6">
        <f>IFERROR(Info_Camas[[#This Row],[Lineas]]/Info_Camas[[#This Row],[Cortinas]],"Pendiente")</f>
        <v>20</v>
      </c>
    </row>
    <row r="211" spans="1:10" hidden="1" x14ac:dyDescent="0.25">
      <c r="A211" t="str">
        <f>+_xlfn.CONCAT(Info_Camas[[#This Row],[Bloque]],Info_Camas[[#This Row],[Lado]],Info_Camas[[#This Row],[Cama]])</f>
        <v>01B105</v>
      </c>
      <c r="B211" t="s">
        <v>739</v>
      </c>
      <c r="C211" t="s">
        <v>14</v>
      </c>
      <c r="D211" t="s">
        <v>21</v>
      </c>
      <c r="E211" t="s">
        <v>108</v>
      </c>
      <c r="F211" t="s">
        <v>276</v>
      </c>
      <c r="G211">
        <v>58.625</v>
      </c>
      <c r="H211" s="9">
        <v>10</v>
      </c>
      <c r="I211" s="9">
        <v>215</v>
      </c>
      <c r="J211" s="6">
        <f>IFERROR(Info_Camas[[#This Row],[Lineas]]/Info_Camas[[#This Row],[Cortinas]],"Pendiente")</f>
        <v>21.5</v>
      </c>
    </row>
    <row r="212" spans="1:10" hidden="1" x14ac:dyDescent="0.25">
      <c r="A212" t="str">
        <f>+_xlfn.CONCAT(Info_Camas[[#This Row],[Bloque]],Info_Camas[[#This Row],[Lado]],Info_Camas[[#This Row],[Cama]])</f>
        <v>01A106</v>
      </c>
      <c r="B212" t="s">
        <v>739</v>
      </c>
      <c r="C212" t="s">
        <v>14</v>
      </c>
      <c r="D212" t="s">
        <v>15</v>
      </c>
      <c r="E212" t="s">
        <v>108</v>
      </c>
      <c r="F212" t="s">
        <v>278</v>
      </c>
      <c r="G212">
        <v>58.625</v>
      </c>
      <c r="H212" s="9">
        <v>10</v>
      </c>
      <c r="I212" s="9">
        <v>201</v>
      </c>
      <c r="J212" s="6">
        <f>IFERROR(Info_Camas[[#This Row],[Lineas]]/Info_Camas[[#This Row],[Cortinas]],"Pendiente")</f>
        <v>20.100000000000001</v>
      </c>
    </row>
    <row r="213" spans="1:10" hidden="1" x14ac:dyDescent="0.25">
      <c r="A213" t="str">
        <f>+_xlfn.CONCAT(Info_Camas[[#This Row],[Bloque]],Info_Camas[[#This Row],[Lado]],Info_Camas[[#This Row],[Cama]])</f>
        <v>01B106</v>
      </c>
      <c r="B213" t="s">
        <v>739</v>
      </c>
      <c r="C213" t="s">
        <v>14</v>
      </c>
      <c r="D213" t="s">
        <v>21</v>
      </c>
      <c r="E213" t="s">
        <v>108</v>
      </c>
      <c r="F213" t="s">
        <v>278</v>
      </c>
      <c r="G213">
        <v>58.625</v>
      </c>
      <c r="H213" s="9">
        <v>10</v>
      </c>
      <c r="I213" s="9">
        <v>213</v>
      </c>
      <c r="J213" s="6">
        <f>IFERROR(Info_Camas[[#This Row],[Lineas]]/Info_Camas[[#This Row],[Cortinas]],"Pendiente")</f>
        <v>21.3</v>
      </c>
    </row>
    <row r="214" spans="1:10" hidden="1" x14ac:dyDescent="0.25">
      <c r="A214" t="str">
        <f>+_xlfn.CONCAT(Info_Camas[[#This Row],[Bloque]],Info_Camas[[#This Row],[Lado]],Info_Camas[[#This Row],[Cama]])</f>
        <v>01A107</v>
      </c>
      <c r="B214" t="s">
        <v>739</v>
      </c>
      <c r="C214" t="s">
        <v>14</v>
      </c>
      <c r="D214" t="s">
        <v>15</v>
      </c>
      <c r="E214" t="s">
        <v>108</v>
      </c>
      <c r="F214" t="s">
        <v>280</v>
      </c>
      <c r="G214">
        <v>58.625</v>
      </c>
      <c r="H214" s="9">
        <v>10</v>
      </c>
      <c r="I214" s="9">
        <v>201</v>
      </c>
      <c r="J214" s="6">
        <f>IFERROR(Info_Camas[[#This Row],[Lineas]]/Info_Camas[[#This Row],[Cortinas]],"Pendiente")</f>
        <v>20.100000000000001</v>
      </c>
    </row>
    <row r="215" spans="1:10" hidden="1" x14ac:dyDescent="0.25">
      <c r="A215" t="str">
        <f>+_xlfn.CONCAT(Info_Camas[[#This Row],[Bloque]],Info_Camas[[#This Row],[Lado]],Info_Camas[[#This Row],[Cama]])</f>
        <v>01B107</v>
      </c>
      <c r="B215" t="s">
        <v>739</v>
      </c>
      <c r="C215" t="s">
        <v>14</v>
      </c>
      <c r="D215" t="s">
        <v>21</v>
      </c>
      <c r="E215" t="s">
        <v>108</v>
      </c>
      <c r="F215" t="s">
        <v>280</v>
      </c>
      <c r="G215">
        <v>58.625</v>
      </c>
      <c r="H215" s="9">
        <v>10</v>
      </c>
      <c r="I215" s="9">
        <v>213</v>
      </c>
      <c r="J215" s="6">
        <f>IFERROR(Info_Camas[[#This Row],[Lineas]]/Info_Camas[[#This Row],[Cortinas]],"Pendiente")</f>
        <v>21.3</v>
      </c>
    </row>
    <row r="216" spans="1:10" hidden="1" x14ac:dyDescent="0.25">
      <c r="A216" t="str">
        <f>+_xlfn.CONCAT(Info_Camas[[#This Row],[Bloque]],Info_Camas[[#This Row],[Lado]],Info_Camas[[#This Row],[Cama]])</f>
        <v>01A108</v>
      </c>
      <c r="B216" t="s">
        <v>739</v>
      </c>
      <c r="C216" t="s">
        <v>14</v>
      </c>
      <c r="D216" t="s">
        <v>15</v>
      </c>
      <c r="E216" t="s">
        <v>108</v>
      </c>
      <c r="F216" t="s">
        <v>282</v>
      </c>
      <c r="G216">
        <v>58.625</v>
      </c>
      <c r="H216" s="9">
        <v>10</v>
      </c>
      <c r="I216" s="9">
        <v>201</v>
      </c>
      <c r="J216" s="6">
        <f>IFERROR(Info_Camas[[#This Row],[Lineas]]/Info_Camas[[#This Row],[Cortinas]],"Pendiente")</f>
        <v>20.100000000000001</v>
      </c>
    </row>
    <row r="217" spans="1:10" hidden="1" x14ac:dyDescent="0.25">
      <c r="A217" t="str">
        <f>+_xlfn.CONCAT(Info_Camas[[#This Row],[Bloque]],Info_Camas[[#This Row],[Lado]],Info_Camas[[#This Row],[Cama]])</f>
        <v>01B108</v>
      </c>
      <c r="B217" t="s">
        <v>739</v>
      </c>
      <c r="C217" t="s">
        <v>14</v>
      </c>
      <c r="D217" t="s">
        <v>21</v>
      </c>
      <c r="E217" t="s">
        <v>108</v>
      </c>
      <c r="F217" t="s">
        <v>282</v>
      </c>
      <c r="G217">
        <v>58.625</v>
      </c>
      <c r="H217" s="9">
        <v>10</v>
      </c>
      <c r="I217" s="9">
        <v>215</v>
      </c>
      <c r="J217" s="6">
        <f>IFERROR(Info_Camas[[#This Row],[Lineas]]/Info_Camas[[#This Row],[Cortinas]],"Pendiente")</f>
        <v>21.5</v>
      </c>
    </row>
    <row r="218" spans="1:10" hidden="1" x14ac:dyDescent="0.25">
      <c r="A218" t="str">
        <f>+_xlfn.CONCAT(Info_Camas[[#This Row],[Bloque]],Info_Camas[[#This Row],[Lado]],Info_Camas[[#This Row],[Cama]])</f>
        <v>01A109</v>
      </c>
      <c r="B218" t="s">
        <v>739</v>
      </c>
      <c r="C218" t="s">
        <v>14</v>
      </c>
      <c r="D218" t="s">
        <v>15</v>
      </c>
      <c r="E218" t="s">
        <v>111</v>
      </c>
      <c r="F218" t="s">
        <v>284</v>
      </c>
      <c r="G218">
        <v>58.625</v>
      </c>
      <c r="H218" s="9">
        <v>10</v>
      </c>
      <c r="I218" s="9">
        <v>201</v>
      </c>
      <c r="J218" s="6">
        <f>IFERROR(Info_Camas[[#This Row],[Lineas]]/Info_Camas[[#This Row],[Cortinas]],"Pendiente")</f>
        <v>20.100000000000001</v>
      </c>
    </row>
    <row r="219" spans="1:10" hidden="1" x14ac:dyDescent="0.25">
      <c r="A219" t="str">
        <f>+_xlfn.CONCAT(Info_Camas[[#This Row],[Bloque]],Info_Camas[[#This Row],[Lado]],Info_Camas[[#This Row],[Cama]])</f>
        <v>01B109</v>
      </c>
      <c r="B219" t="s">
        <v>739</v>
      </c>
      <c r="C219" t="s">
        <v>14</v>
      </c>
      <c r="D219" t="s">
        <v>21</v>
      </c>
      <c r="E219" t="s">
        <v>111</v>
      </c>
      <c r="F219" t="s">
        <v>284</v>
      </c>
      <c r="G219">
        <v>34.277299999999997</v>
      </c>
      <c r="H219" s="9">
        <v>10</v>
      </c>
      <c r="I219" s="9">
        <v>213</v>
      </c>
      <c r="J219" s="6">
        <f>IFERROR(Info_Camas[[#This Row],[Lineas]]/Info_Camas[[#This Row],[Cortinas]],"Pendiente")</f>
        <v>21.3</v>
      </c>
    </row>
    <row r="220" spans="1:10" hidden="1" x14ac:dyDescent="0.25">
      <c r="A220" t="str">
        <f>+_xlfn.CONCAT(Info_Camas[[#This Row],[Bloque]],Info_Camas[[#This Row],[Lado]],Info_Camas[[#This Row],[Cama]])</f>
        <v>01A110</v>
      </c>
      <c r="B220" t="s">
        <v>739</v>
      </c>
      <c r="C220" t="s">
        <v>14</v>
      </c>
      <c r="D220" t="s">
        <v>15</v>
      </c>
      <c r="E220" t="s">
        <v>111</v>
      </c>
      <c r="F220" t="s">
        <v>286</v>
      </c>
      <c r="G220">
        <v>58.625</v>
      </c>
      <c r="H220" s="9">
        <v>10</v>
      </c>
      <c r="I220" s="9">
        <v>200</v>
      </c>
      <c r="J220" s="6">
        <f>IFERROR(Info_Camas[[#This Row],[Lineas]]/Info_Camas[[#This Row],[Cortinas]],"Pendiente")</f>
        <v>20</v>
      </c>
    </row>
    <row r="221" spans="1:10" hidden="1" x14ac:dyDescent="0.25">
      <c r="A221" t="str">
        <f>+_xlfn.CONCAT(Info_Camas[[#This Row],[Bloque]],Info_Camas[[#This Row],[Lado]],Info_Camas[[#This Row],[Cama]])</f>
        <v>01B110</v>
      </c>
      <c r="B221" t="s">
        <v>739</v>
      </c>
      <c r="C221" t="s">
        <v>14</v>
      </c>
      <c r="D221" t="s">
        <v>21</v>
      </c>
      <c r="E221" t="s">
        <v>111</v>
      </c>
      <c r="F221" t="s">
        <v>286</v>
      </c>
      <c r="G221">
        <v>58.625</v>
      </c>
      <c r="H221" s="9">
        <v>10</v>
      </c>
      <c r="I221" s="9">
        <v>212</v>
      </c>
      <c r="J221" s="6">
        <f>IFERROR(Info_Camas[[#This Row],[Lineas]]/Info_Camas[[#This Row],[Cortinas]],"Pendiente")</f>
        <v>21.2</v>
      </c>
    </row>
    <row r="222" spans="1:10" hidden="1" x14ac:dyDescent="0.25">
      <c r="A222" t="str">
        <f>+_xlfn.CONCAT(Info_Camas[[#This Row],[Bloque]],Info_Camas[[#This Row],[Lado]],Info_Camas[[#This Row],[Cama]])</f>
        <v>01A111</v>
      </c>
      <c r="B222" t="s">
        <v>739</v>
      </c>
      <c r="C222" t="s">
        <v>14</v>
      </c>
      <c r="D222" t="s">
        <v>15</v>
      </c>
      <c r="E222" t="s">
        <v>111</v>
      </c>
      <c r="F222" t="s">
        <v>288</v>
      </c>
      <c r="G222">
        <v>58.625</v>
      </c>
      <c r="H222" s="9">
        <v>10</v>
      </c>
      <c r="I222" s="9">
        <v>211</v>
      </c>
      <c r="J222" s="6">
        <f>IFERROR(Info_Camas[[#This Row],[Lineas]]/Info_Camas[[#This Row],[Cortinas]],"Pendiente")</f>
        <v>21.1</v>
      </c>
    </row>
    <row r="223" spans="1:10" hidden="1" x14ac:dyDescent="0.25">
      <c r="A223" t="str">
        <f>+_xlfn.CONCAT(Info_Camas[[#This Row],[Bloque]],Info_Camas[[#This Row],[Lado]],Info_Camas[[#This Row],[Cama]])</f>
        <v>01B111</v>
      </c>
      <c r="B223" t="s">
        <v>739</v>
      </c>
      <c r="C223" t="s">
        <v>14</v>
      </c>
      <c r="D223" t="s">
        <v>21</v>
      </c>
      <c r="E223" t="s">
        <v>111</v>
      </c>
      <c r="F223" t="s">
        <v>288</v>
      </c>
      <c r="G223">
        <v>58.625</v>
      </c>
      <c r="H223" s="9">
        <v>10</v>
      </c>
      <c r="I223" s="9">
        <v>211</v>
      </c>
      <c r="J223" s="6">
        <f>IFERROR(Info_Camas[[#This Row],[Lineas]]/Info_Camas[[#This Row],[Cortinas]],"Pendiente")</f>
        <v>21.1</v>
      </c>
    </row>
    <row r="224" spans="1:10" hidden="1" x14ac:dyDescent="0.25">
      <c r="A224" t="str">
        <f>+_xlfn.CONCAT(Info_Camas[[#This Row],[Bloque]],Info_Camas[[#This Row],[Lado]],Info_Camas[[#This Row],[Cama]])</f>
        <v>01A112</v>
      </c>
      <c r="B224" t="s">
        <v>739</v>
      </c>
      <c r="C224" t="s">
        <v>14</v>
      </c>
      <c r="D224" t="s">
        <v>15</v>
      </c>
      <c r="E224" t="s">
        <v>111</v>
      </c>
      <c r="F224" t="s">
        <v>290</v>
      </c>
      <c r="G224">
        <v>20.521100000000001</v>
      </c>
      <c r="H224" s="9">
        <v>10</v>
      </c>
      <c r="I224" s="9">
        <v>210</v>
      </c>
      <c r="J224" s="6">
        <f>IFERROR(Info_Camas[[#This Row],[Lineas]]/Info_Camas[[#This Row],[Cortinas]],"Pendiente")</f>
        <v>21</v>
      </c>
    </row>
    <row r="225" spans="1:10" hidden="1" x14ac:dyDescent="0.25">
      <c r="A225" t="str">
        <f>+_xlfn.CONCAT(Info_Camas[[#This Row],[Bloque]],Info_Camas[[#This Row],[Lado]],Info_Camas[[#This Row],[Cama]])</f>
        <v>01B112</v>
      </c>
      <c r="B225" t="s">
        <v>739</v>
      </c>
      <c r="C225" t="s">
        <v>14</v>
      </c>
      <c r="D225" t="s">
        <v>21</v>
      </c>
      <c r="E225" t="s">
        <v>111</v>
      </c>
      <c r="F225" t="s">
        <v>290</v>
      </c>
      <c r="G225">
        <v>58.625</v>
      </c>
      <c r="H225" s="9">
        <v>10</v>
      </c>
      <c r="I225" s="9">
        <v>212</v>
      </c>
      <c r="J225" s="6">
        <f>IFERROR(Info_Camas[[#This Row],[Lineas]]/Info_Camas[[#This Row],[Cortinas]],"Pendiente")</f>
        <v>21.2</v>
      </c>
    </row>
    <row r="226" spans="1:10" hidden="1" x14ac:dyDescent="0.25">
      <c r="A226" t="str">
        <f>+_xlfn.CONCAT(Info_Camas[[#This Row],[Bloque]],Info_Camas[[#This Row],[Lado]],Info_Camas[[#This Row],[Cama]])</f>
        <v>01A113</v>
      </c>
      <c r="B226" t="s">
        <v>739</v>
      </c>
      <c r="C226" t="s">
        <v>14</v>
      </c>
      <c r="D226" t="s">
        <v>15</v>
      </c>
      <c r="E226" t="s">
        <v>114</v>
      </c>
      <c r="F226" t="s">
        <v>292</v>
      </c>
      <c r="G226">
        <v>58.625</v>
      </c>
      <c r="H226" s="9">
        <v>10</v>
      </c>
      <c r="I226" s="9">
        <v>212</v>
      </c>
      <c r="J226" s="6">
        <f>IFERROR(Info_Camas[[#This Row],[Lineas]]/Info_Camas[[#This Row],[Cortinas]],"Pendiente")</f>
        <v>21.2</v>
      </c>
    </row>
    <row r="227" spans="1:10" hidden="1" x14ac:dyDescent="0.25">
      <c r="A227" t="str">
        <f>+_xlfn.CONCAT(Info_Camas[[#This Row],[Bloque]],Info_Camas[[#This Row],[Lado]],Info_Camas[[#This Row],[Cama]])</f>
        <v>01B113</v>
      </c>
      <c r="B227" t="s">
        <v>739</v>
      </c>
      <c r="C227" t="s">
        <v>14</v>
      </c>
      <c r="D227" t="s">
        <v>21</v>
      </c>
      <c r="E227" t="s">
        <v>114</v>
      </c>
      <c r="F227" t="s">
        <v>292</v>
      </c>
      <c r="G227">
        <v>58.625</v>
      </c>
      <c r="H227" s="9">
        <v>10</v>
      </c>
      <c r="I227" s="9">
        <v>211</v>
      </c>
      <c r="J227" s="6">
        <f>IFERROR(Info_Camas[[#This Row],[Lineas]]/Info_Camas[[#This Row],[Cortinas]],"Pendiente")</f>
        <v>21.1</v>
      </c>
    </row>
    <row r="228" spans="1:10" hidden="1" x14ac:dyDescent="0.25">
      <c r="A228" t="str">
        <f>+_xlfn.CONCAT(Info_Camas[[#This Row],[Bloque]],Info_Camas[[#This Row],[Lado]],Info_Camas[[#This Row],[Cama]])</f>
        <v>01A114</v>
      </c>
      <c r="B228" t="s">
        <v>739</v>
      </c>
      <c r="C228" t="s">
        <v>14</v>
      </c>
      <c r="D228" t="s">
        <v>15</v>
      </c>
      <c r="E228" t="s">
        <v>114</v>
      </c>
      <c r="F228" t="s">
        <v>294</v>
      </c>
      <c r="G228">
        <v>58.625</v>
      </c>
      <c r="H228" s="9">
        <v>10</v>
      </c>
      <c r="I228" s="9">
        <v>211</v>
      </c>
      <c r="J228" s="6">
        <f>IFERROR(Info_Camas[[#This Row],[Lineas]]/Info_Camas[[#This Row],[Cortinas]],"Pendiente")</f>
        <v>21.1</v>
      </c>
    </row>
    <row r="229" spans="1:10" hidden="1" x14ac:dyDescent="0.25">
      <c r="A229" t="str">
        <f>+_xlfn.CONCAT(Info_Camas[[#This Row],[Bloque]],Info_Camas[[#This Row],[Lado]],Info_Camas[[#This Row],[Cama]])</f>
        <v>01B114</v>
      </c>
      <c r="B229" t="s">
        <v>739</v>
      </c>
      <c r="C229" t="s">
        <v>14</v>
      </c>
      <c r="D229" t="s">
        <v>21</v>
      </c>
      <c r="E229" t="s">
        <v>114</v>
      </c>
      <c r="F229" t="s">
        <v>294</v>
      </c>
      <c r="G229">
        <v>58.625</v>
      </c>
      <c r="H229" s="9">
        <v>10</v>
      </c>
      <c r="I229" s="9">
        <v>211</v>
      </c>
      <c r="J229" s="6">
        <f>IFERROR(Info_Camas[[#This Row],[Lineas]]/Info_Camas[[#This Row],[Cortinas]],"Pendiente")</f>
        <v>21.1</v>
      </c>
    </row>
    <row r="230" spans="1:10" hidden="1" x14ac:dyDescent="0.25">
      <c r="A230" t="str">
        <f>+_xlfn.CONCAT(Info_Camas[[#This Row],[Bloque]],Info_Camas[[#This Row],[Lado]],Info_Camas[[#This Row],[Cama]])</f>
        <v>01A115</v>
      </c>
      <c r="B230" t="s">
        <v>739</v>
      </c>
      <c r="C230" t="s">
        <v>14</v>
      </c>
      <c r="D230" t="s">
        <v>15</v>
      </c>
      <c r="E230" t="s">
        <v>114</v>
      </c>
      <c r="F230" t="s">
        <v>296</v>
      </c>
      <c r="G230">
        <v>58.625</v>
      </c>
      <c r="H230" s="9">
        <v>10</v>
      </c>
      <c r="I230" s="9">
        <v>214</v>
      </c>
      <c r="J230" s="6">
        <f>IFERROR(Info_Camas[[#This Row],[Lineas]]/Info_Camas[[#This Row],[Cortinas]],"Pendiente")</f>
        <v>21.4</v>
      </c>
    </row>
    <row r="231" spans="1:10" hidden="1" x14ac:dyDescent="0.25">
      <c r="A231" t="str">
        <f>+_xlfn.CONCAT(Info_Camas[[#This Row],[Bloque]],Info_Camas[[#This Row],[Lado]],Info_Camas[[#This Row],[Cama]])</f>
        <v>01B115</v>
      </c>
      <c r="B231" t="s">
        <v>739</v>
      </c>
      <c r="C231" t="s">
        <v>14</v>
      </c>
      <c r="D231" t="s">
        <v>21</v>
      </c>
      <c r="E231" t="s">
        <v>114</v>
      </c>
      <c r="F231" t="s">
        <v>296</v>
      </c>
      <c r="G231">
        <v>58.625</v>
      </c>
      <c r="H231" s="9">
        <v>10</v>
      </c>
      <c r="I231" s="9">
        <v>212</v>
      </c>
      <c r="J231" s="6">
        <f>IFERROR(Info_Camas[[#This Row],[Lineas]]/Info_Camas[[#This Row],[Cortinas]],"Pendiente")</f>
        <v>21.2</v>
      </c>
    </row>
    <row r="232" spans="1:10" hidden="1" x14ac:dyDescent="0.25">
      <c r="A232" t="str">
        <f>+_xlfn.CONCAT(Info_Camas[[#This Row],[Bloque]],Info_Camas[[#This Row],[Lado]],Info_Camas[[#This Row],[Cama]])</f>
        <v>01A116</v>
      </c>
      <c r="B232" t="s">
        <v>739</v>
      </c>
      <c r="C232" t="s">
        <v>14</v>
      </c>
      <c r="D232" t="s">
        <v>15</v>
      </c>
      <c r="E232" t="s">
        <v>114</v>
      </c>
      <c r="F232" t="s">
        <v>298</v>
      </c>
      <c r="G232">
        <v>58.625</v>
      </c>
      <c r="H232" s="9">
        <v>10</v>
      </c>
      <c r="I232" s="9">
        <v>212</v>
      </c>
      <c r="J232" s="6">
        <f>IFERROR(Info_Camas[[#This Row],[Lineas]]/Info_Camas[[#This Row],[Cortinas]],"Pendiente")</f>
        <v>21.2</v>
      </c>
    </row>
    <row r="233" spans="1:10" hidden="1" x14ac:dyDescent="0.25">
      <c r="A233" t="str">
        <f>+_xlfn.CONCAT(Info_Camas[[#This Row],[Bloque]],Info_Camas[[#This Row],[Lado]],Info_Camas[[#This Row],[Cama]])</f>
        <v>01B116</v>
      </c>
      <c r="B233" t="s">
        <v>739</v>
      </c>
      <c r="C233" t="s">
        <v>14</v>
      </c>
      <c r="D233" t="s">
        <v>21</v>
      </c>
      <c r="E233" t="s">
        <v>114</v>
      </c>
      <c r="F233" t="s">
        <v>298</v>
      </c>
      <c r="G233">
        <v>58.625</v>
      </c>
      <c r="H233" s="9">
        <v>10</v>
      </c>
      <c r="I233" s="9">
        <v>211</v>
      </c>
      <c r="J233" s="6">
        <f>IFERROR(Info_Camas[[#This Row],[Lineas]]/Info_Camas[[#This Row],[Cortinas]],"Pendiente")</f>
        <v>21.1</v>
      </c>
    </row>
    <row r="234" spans="1:10" hidden="1" x14ac:dyDescent="0.25">
      <c r="A234" t="str">
        <f>+_xlfn.CONCAT(Info_Camas[[#This Row],[Bloque]],Info_Camas[[#This Row],[Lado]],Info_Camas[[#This Row],[Cama]])</f>
        <v>01A117</v>
      </c>
      <c r="B234" t="s">
        <v>739</v>
      </c>
      <c r="C234" t="s">
        <v>14</v>
      </c>
      <c r="D234" t="s">
        <v>15</v>
      </c>
      <c r="E234" t="s">
        <v>117</v>
      </c>
      <c r="F234" t="s">
        <v>301</v>
      </c>
      <c r="G234">
        <v>25.489100000000001</v>
      </c>
      <c r="H234" s="9">
        <v>10</v>
      </c>
      <c r="I234" s="9">
        <v>211</v>
      </c>
      <c r="J234" s="6">
        <f>IFERROR(Info_Camas[[#This Row],[Lineas]]/Info_Camas[[#This Row],[Cortinas]],"Pendiente")</f>
        <v>21.1</v>
      </c>
    </row>
    <row r="235" spans="1:10" hidden="1" x14ac:dyDescent="0.25">
      <c r="A235" t="str">
        <f>+_xlfn.CONCAT(Info_Camas[[#This Row],[Bloque]],Info_Camas[[#This Row],[Lado]],Info_Camas[[#This Row],[Cama]])</f>
        <v>01B117</v>
      </c>
      <c r="B235" t="s">
        <v>739</v>
      </c>
      <c r="C235" t="s">
        <v>14</v>
      </c>
      <c r="D235" t="s">
        <v>21</v>
      </c>
      <c r="E235" t="s">
        <v>117</v>
      </c>
      <c r="F235" t="s">
        <v>301</v>
      </c>
      <c r="G235">
        <v>58.625</v>
      </c>
      <c r="H235" s="9">
        <v>10</v>
      </c>
      <c r="I235" s="9">
        <v>210</v>
      </c>
      <c r="J235" s="6">
        <f>IFERROR(Info_Camas[[#This Row],[Lineas]]/Info_Camas[[#This Row],[Cortinas]],"Pendiente")</f>
        <v>21</v>
      </c>
    </row>
    <row r="236" spans="1:10" hidden="1" x14ac:dyDescent="0.25">
      <c r="A236" t="str">
        <f>+_xlfn.CONCAT(Info_Camas[[#This Row],[Bloque]],Info_Camas[[#This Row],[Lado]],Info_Camas[[#This Row],[Cama]])</f>
        <v>01A118</v>
      </c>
      <c r="B236" t="s">
        <v>739</v>
      </c>
      <c r="C236" t="s">
        <v>14</v>
      </c>
      <c r="D236" t="s">
        <v>15</v>
      </c>
      <c r="E236" t="s">
        <v>117</v>
      </c>
      <c r="F236" t="s">
        <v>303</v>
      </c>
      <c r="G236">
        <v>58.625</v>
      </c>
      <c r="H236" s="9">
        <v>10</v>
      </c>
      <c r="I236" s="9">
        <v>213</v>
      </c>
      <c r="J236" s="6">
        <f>IFERROR(Info_Camas[[#This Row],[Lineas]]/Info_Camas[[#This Row],[Cortinas]],"Pendiente")</f>
        <v>21.3</v>
      </c>
    </row>
    <row r="237" spans="1:10" hidden="1" x14ac:dyDescent="0.25">
      <c r="A237" t="str">
        <f>+_xlfn.CONCAT(Info_Camas[[#This Row],[Bloque]],Info_Camas[[#This Row],[Lado]],Info_Camas[[#This Row],[Cama]])</f>
        <v>01B118</v>
      </c>
      <c r="B237" t="s">
        <v>739</v>
      </c>
      <c r="C237" t="s">
        <v>14</v>
      </c>
      <c r="D237" t="s">
        <v>21</v>
      </c>
      <c r="E237" t="s">
        <v>117</v>
      </c>
      <c r="F237" t="s">
        <v>303</v>
      </c>
      <c r="G237">
        <v>58.625</v>
      </c>
      <c r="H237" s="9">
        <v>10</v>
      </c>
      <c r="I237" s="9">
        <v>211</v>
      </c>
      <c r="J237" s="6">
        <f>IFERROR(Info_Camas[[#This Row],[Lineas]]/Info_Camas[[#This Row],[Cortinas]],"Pendiente")</f>
        <v>21.1</v>
      </c>
    </row>
    <row r="238" spans="1:10" hidden="1" x14ac:dyDescent="0.25">
      <c r="A238" t="str">
        <f>+_xlfn.CONCAT(Info_Camas[[#This Row],[Bloque]],Info_Camas[[#This Row],[Lado]],Info_Camas[[#This Row],[Cama]])</f>
        <v>01A119</v>
      </c>
      <c r="B238" t="s">
        <v>739</v>
      </c>
      <c r="C238" t="s">
        <v>14</v>
      </c>
      <c r="D238" t="s">
        <v>15</v>
      </c>
      <c r="E238" t="s">
        <v>117</v>
      </c>
      <c r="F238" t="s">
        <v>305</v>
      </c>
      <c r="G238">
        <v>58.625</v>
      </c>
      <c r="H238" s="9">
        <v>10</v>
      </c>
      <c r="I238" s="9">
        <v>211</v>
      </c>
      <c r="J238" s="6">
        <f>IFERROR(Info_Camas[[#This Row],[Lineas]]/Info_Camas[[#This Row],[Cortinas]],"Pendiente")</f>
        <v>21.1</v>
      </c>
    </row>
    <row r="239" spans="1:10" hidden="1" x14ac:dyDescent="0.25">
      <c r="A239" t="str">
        <f>+_xlfn.CONCAT(Info_Camas[[#This Row],[Bloque]],Info_Camas[[#This Row],[Lado]],Info_Camas[[#This Row],[Cama]])</f>
        <v>01B119</v>
      </c>
      <c r="B239" t="s">
        <v>739</v>
      </c>
      <c r="C239" t="s">
        <v>14</v>
      </c>
      <c r="D239" t="s">
        <v>21</v>
      </c>
      <c r="E239" t="s">
        <v>117</v>
      </c>
      <c r="F239" t="s">
        <v>305</v>
      </c>
      <c r="G239">
        <v>58.625</v>
      </c>
      <c r="H239" s="9">
        <v>10</v>
      </c>
      <c r="I239" s="9">
        <v>208</v>
      </c>
      <c r="J239" s="6">
        <f>IFERROR(Info_Camas[[#This Row],[Lineas]]/Info_Camas[[#This Row],[Cortinas]],"Pendiente")</f>
        <v>20.8</v>
      </c>
    </row>
    <row r="240" spans="1:10" hidden="1" x14ac:dyDescent="0.25">
      <c r="A240" t="str">
        <f>+_xlfn.CONCAT(Info_Camas[[#This Row],[Bloque]],Info_Camas[[#This Row],[Lado]],Info_Camas[[#This Row],[Cama]])</f>
        <v>01A120</v>
      </c>
      <c r="B240" t="s">
        <v>739</v>
      </c>
      <c r="C240" t="s">
        <v>14</v>
      </c>
      <c r="D240" t="s">
        <v>15</v>
      </c>
      <c r="E240" t="s">
        <v>117</v>
      </c>
      <c r="F240" t="s">
        <v>307</v>
      </c>
      <c r="G240">
        <v>58.625</v>
      </c>
      <c r="H240" s="9">
        <v>10</v>
      </c>
      <c r="I240" s="9">
        <v>205</v>
      </c>
      <c r="J240" s="6">
        <f>IFERROR(Info_Camas[[#This Row],[Lineas]]/Info_Camas[[#This Row],[Cortinas]],"Pendiente")</f>
        <v>20.5</v>
      </c>
    </row>
    <row r="241" spans="1:10" hidden="1" x14ac:dyDescent="0.25">
      <c r="A241" t="str">
        <f>+_xlfn.CONCAT(Info_Camas[[#This Row],[Bloque]],Info_Camas[[#This Row],[Lado]],Info_Camas[[#This Row],[Cama]])</f>
        <v>01B120</v>
      </c>
      <c r="B241" t="s">
        <v>739</v>
      </c>
      <c r="C241" t="s">
        <v>14</v>
      </c>
      <c r="D241" t="s">
        <v>21</v>
      </c>
      <c r="E241" t="s">
        <v>117</v>
      </c>
      <c r="F241" t="s">
        <v>307</v>
      </c>
      <c r="G241">
        <v>58.625</v>
      </c>
      <c r="H241" s="9">
        <v>10</v>
      </c>
      <c r="I241" s="9">
        <v>210</v>
      </c>
      <c r="J241" s="6">
        <f>IFERROR(Info_Camas[[#This Row],[Lineas]]/Info_Camas[[#This Row],[Cortinas]],"Pendiente")</f>
        <v>21</v>
      </c>
    </row>
    <row r="242" spans="1:10" hidden="1" x14ac:dyDescent="0.25">
      <c r="A242" t="str">
        <f>+_xlfn.CONCAT(Info_Camas[[#This Row],[Bloque]],Info_Camas[[#This Row],[Lado]],Info_Camas[[#This Row],[Cama]])</f>
        <v>02A029</v>
      </c>
      <c r="B242" t="s">
        <v>739</v>
      </c>
      <c r="C242" t="s">
        <v>20</v>
      </c>
      <c r="D242" t="s">
        <v>15</v>
      </c>
      <c r="E242" t="s">
        <v>46</v>
      </c>
      <c r="F242" t="s">
        <v>115</v>
      </c>
      <c r="G242">
        <v>59.063000000000002</v>
      </c>
      <c r="H242" s="9">
        <v>10</v>
      </c>
      <c r="I242" s="9">
        <v>218</v>
      </c>
      <c r="J242" s="6">
        <f>IFERROR(Info_Camas[[#This Row],[Lineas]]/Info_Camas[[#This Row],[Cortinas]],"Pendiente")</f>
        <v>21.8</v>
      </c>
    </row>
    <row r="243" spans="1:10" hidden="1" x14ac:dyDescent="0.25">
      <c r="A243" t="str">
        <f>+_xlfn.CONCAT(Info_Camas[[#This Row],[Bloque]],Info_Camas[[#This Row],[Lado]],Info_Camas[[#This Row],[Cama]])</f>
        <v>02B029</v>
      </c>
      <c r="B243" t="s">
        <v>739</v>
      </c>
      <c r="C243" t="s">
        <v>20</v>
      </c>
      <c r="D243" t="s">
        <v>21</v>
      </c>
      <c r="E243" t="s">
        <v>46</v>
      </c>
      <c r="F243" t="s">
        <v>115</v>
      </c>
      <c r="G243">
        <v>59.063000000000002</v>
      </c>
      <c r="H243" s="9">
        <v>10</v>
      </c>
      <c r="I243" s="9">
        <v>214</v>
      </c>
      <c r="J243" s="6">
        <f>IFERROR(Info_Camas[[#This Row],[Lineas]]/Info_Camas[[#This Row],[Cortinas]],"Pendiente")</f>
        <v>21.4</v>
      </c>
    </row>
    <row r="244" spans="1:10" hidden="1" x14ac:dyDescent="0.25">
      <c r="A244" t="str">
        <f>+_xlfn.CONCAT(Info_Camas[[#This Row],[Bloque]],Info_Camas[[#This Row],[Lado]],Info_Camas[[#This Row],[Cama]])</f>
        <v>02A030</v>
      </c>
      <c r="B244" t="s">
        <v>739</v>
      </c>
      <c r="C244" t="s">
        <v>20</v>
      </c>
      <c r="D244" t="s">
        <v>15</v>
      </c>
      <c r="E244" t="s">
        <v>46</v>
      </c>
      <c r="F244" t="s">
        <v>118</v>
      </c>
      <c r="G244">
        <v>59.063000000000002</v>
      </c>
      <c r="H244" s="9">
        <v>10</v>
      </c>
      <c r="I244" s="9">
        <v>218</v>
      </c>
      <c r="J244" s="6">
        <f>IFERROR(Info_Camas[[#This Row],[Lineas]]/Info_Camas[[#This Row],[Cortinas]],"Pendiente")</f>
        <v>21.8</v>
      </c>
    </row>
    <row r="245" spans="1:10" hidden="1" x14ac:dyDescent="0.25">
      <c r="A245" t="str">
        <f>+_xlfn.CONCAT(Info_Camas[[#This Row],[Bloque]],Info_Camas[[#This Row],[Lado]],Info_Camas[[#This Row],[Cama]])</f>
        <v>02B030</v>
      </c>
      <c r="B245" t="s">
        <v>739</v>
      </c>
      <c r="C245" t="s">
        <v>20</v>
      </c>
      <c r="D245" t="s">
        <v>21</v>
      </c>
      <c r="E245" t="s">
        <v>46</v>
      </c>
      <c r="F245" t="s">
        <v>118</v>
      </c>
      <c r="G245">
        <v>59.063000000000002</v>
      </c>
      <c r="H245" s="9">
        <v>10</v>
      </c>
      <c r="I245" s="9">
        <v>217</v>
      </c>
      <c r="J245" s="6">
        <f>IFERROR(Info_Camas[[#This Row],[Lineas]]/Info_Camas[[#This Row],[Cortinas]],"Pendiente")</f>
        <v>21.7</v>
      </c>
    </row>
    <row r="246" spans="1:10" hidden="1" x14ac:dyDescent="0.25">
      <c r="A246" t="str">
        <f>+_xlfn.CONCAT(Info_Camas[[#This Row],[Bloque]],Info_Camas[[#This Row],[Lado]],Info_Camas[[#This Row],[Cama]])</f>
        <v>02A031</v>
      </c>
      <c r="B246" t="s">
        <v>739</v>
      </c>
      <c r="C246" t="s">
        <v>20</v>
      </c>
      <c r="D246" t="s">
        <v>15</v>
      </c>
      <c r="E246" t="s">
        <v>46</v>
      </c>
      <c r="F246" t="s">
        <v>121</v>
      </c>
      <c r="G246">
        <v>59.063000000000002</v>
      </c>
      <c r="H246" s="9">
        <v>10</v>
      </c>
      <c r="I246" s="9">
        <v>218</v>
      </c>
      <c r="J246" s="6">
        <f>IFERROR(Info_Camas[[#This Row],[Lineas]]/Info_Camas[[#This Row],[Cortinas]],"Pendiente")</f>
        <v>21.8</v>
      </c>
    </row>
    <row r="247" spans="1:10" hidden="1" x14ac:dyDescent="0.25">
      <c r="A247" t="str">
        <f>+_xlfn.CONCAT(Info_Camas[[#This Row],[Bloque]],Info_Camas[[#This Row],[Lado]],Info_Camas[[#This Row],[Cama]])</f>
        <v>02B031</v>
      </c>
      <c r="B247" t="s">
        <v>739</v>
      </c>
      <c r="C247" t="s">
        <v>20</v>
      </c>
      <c r="D247" t="s">
        <v>21</v>
      </c>
      <c r="E247" t="s">
        <v>46</v>
      </c>
      <c r="F247" t="s">
        <v>121</v>
      </c>
      <c r="G247">
        <v>4.4320000000000004</v>
      </c>
      <c r="H247" s="9">
        <v>10</v>
      </c>
      <c r="I247" s="9">
        <v>216</v>
      </c>
      <c r="J247" s="6">
        <f>IFERROR(Info_Camas[[#This Row],[Lineas]]/Info_Camas[[#This Row],[Cortinas]],"Pendiente")</f>
        <v>21.6</v>
      </c>
    </row>
    <row r="248" spans="1:10" hidden="1" x14ac:dyDescent="0.25">
      <c r="A248" t="str">
        <f>+_xlfn.CONCAT(Info_Camas[[#This Row],[Bloque]],Info_Camas[[#This Row],[Lado]],Info_Camas[[#This Row],[Cama]])</f>
        <v>02A032</v>
      </c>
      <c r="B248" t="s">
        <v>739</v>
      </c>
      <c r="C248" t="s">
        <v>20</v>
      </c>
      <c r="D248" t="s">
        <v>15</v>
      </c>
      <c r="E248" t="s">
        <v>46</v>
      </c>
      <c r="F248" t="s">
        <v>124</v>
      </c>
      <c r="G248">
        <v>59.063000000000002</v>
      </c>
      <c r="H248" s="9">
        <v>10</v>
      </c>
      <c r="I248" s="9">
        <v>219</v>
      </c>
      <c r="J248" s="6">
        <f>IFERROR(Info_Camas[[#This Row],[Lineas]]/Info_Camas[[#This Row],[Cortinas]],"Pendiente")</f>
        <v>21.9</v>
      </c>
    </row>
    <row r="249" spans="1:10" hidden="1" x14ac:dyDescent="0.25">
      <c r="A249" t="str">
        <f>+_xlfn.CONCAT(Info_Camas[[#This Row],[Bloque]],Info_Camas[[#This Row],[Lado]],Info_Camas[[#This Row],[Cama]])</f>
        <v>02B032</v>
      </c>
      <c r="B249" t="s">
        <v>739</v>
      </c>
      <c r="C249" t="s">
        <v>20</v>
      </c>
      <c r="D249" t="s">
        <v>21</v>
      </c>
      <c r="E249" t="s">
        <v>46</v>
      </c>
      <c r="F249" t="s">
        <v>124</v>
      </c>
      <c r="G249">
        <v>59.063000000000002</v>
      </c>
      <c r="H249" s="9">
        <v>10</v>
      </c>
      <c r="I249" s="9">
        <v>217</v>
      </c>
      <c r="J249" s="6">
        <f>IFERROR(Info_Camas[[#This Row],[Lineas]]/Info_Camas[[#This Row],[Cortinas]],"Pendiente")</f>
        <v>21.7</v>
      </c>
    </row>
    <row r="250" spans="1:10" hidden="1" x14ac:dyDescent="0.25">
      <c r="A250" t="str">
        <f>+_xlfn.CONCAT(Info_Camas[[#This Row],[Bloque]],Info_Camas[[#This Row],[Lado]],Info_Camas[[#This Row],[Cama]])</f>
        <v>02A033</v>
      </c>
      <c r="B250" t="s">
        <v>739</v>
      </c>
      <c r="C250" t="s">
        <v>20</v>
      </c>
      <c r="D250" t="s">
        <v>15</v>
      </c>
      <c r="E250" t="s">
        <v>51</v>
      </c>
      <c r="F250" t="s">
        <v>126</v>
      </c>
      <c r="G250">
        <v>10.3315</v>
      </c>
      <c r="H250" s="9">
        <v>10</v>
      </c>
      <c r="I250" s="9">
        <v>218</v>
      </c>
      <c r="J250" s="6">
        <f>IFERROR(Info_Camas[[#This Row],[Lineas]]/Info_Camas[[#This Row],[Cortinas]],"Pendiente")</f>
        <v>21.8</v>
      </c>
    </row>
    <row r="251" spans="1:10" hidden="1" x14ac:dyDescent="0.25">
      <c r="A251" t="str">
        <f>+_xlfn.CONCAT(Info_Camas[[#This Row],[Bloque]],Info_Camas[[#This Row],[Lado]],Info_Camas[[#This Row],[Cama]])</f>
        <v>02B033</v>
      </c>
      <c r="B251" t="s">
        <v>739</v>
      </c>
      <c r="C251" t="s">
        <v>20</v>
      </c>
      <c r="D251" t="s">
        <v>21</v>
      </c>
      <c r="E251" t="s">
        <v>51</v>
      </c>
      <c r="F251" t="s">
        <v>126</v>
      </c>
      <c r="G251">
        <v>59.063000000000002</v>
      </c>
      <c r="H251" s="9">
        <v>10</v>
      </c>
      <c r="I251" s="9">
        <v>213</v>
      </c>
      <c r="J251" s="6">
        <f>IFERROR(Info_Camas[[#This Row],[Lineas]]/Info_Camas[[#This Row],[Cortinas]],"Pendiente")</f>
        <v>21.3</v>
      </c>
    </row>
    <row r="252" spans="1:10" hidden="1" x14ac:dyDescent="0.25">
      <c r="A252" t="str">
        <f>+_xlfn.CONCAT(Info_Camas[[#This Row],[Bloque]],Info_Camas[[#This Row],[Lado]],Info_Camas[[#This Row],[Cama]])</f>
        <v>02A034</v>
      </c>
      <c r="B252" t="s">
        <v>739</v>
      </c>
      <c r="C252" t="s">
        <v>20</v>
      </c>
      <c r="D252" t="s">
        <v>15</v>
      </c>
      <c r="E252" t="s">
        <v>51</v>
      </c>
      <c r="F252" t="s">
        <v>128</v>
      </c>
      <c r="G252">
        <v>59.063000000000002</v>
      </c>
      <c r="H252" s="9">
        <v>10</v>
      </c>
      <c r="I252" s="9">
        <v>218</v>
      </c>
      <c r="J252" s="6">
        <f>IFERROR(Info_Camas[[#This Row],[Lineas]]/Info_Camas[[#This Row],[Cortinas]],"Pendiente")</f>
        <v>21.8</v>
      </c>
    </row>
    <row r="253" spans="1:10" hidden="1" x14ac:dyDescent="0.25">
      <c r="A253" t="str">
        <f>+_xlfn.CONCAT(Info_Camas[[#This Row],[Bloque]],Info_Camas[[#This Row],[Lado]],Info_Camas[[#This Row],[Cama]])</f>
        <v>02B034</v>
      </c>
      <c r="B253" t="s">
        <v>739</v>
      </c>
      <c r="C253" t="s">
        <v>20</v>
      </c>
      <c r="D253" t="s">
        <v>21</v>
      </c>
      <c r="E253" t="s">
        <v>51</v>
      </c>
      <c r="F253" t="s">
        <v>128</v>
      </c>
      <c r="G253">
        <v>59.063000000000002</v>
      </c>
      <c r="H253" s="9">
        <v>10</v>
      </c>
      <c r="I253" s="9">
        <v>213</v>
      </c>
      <c r="J253" s="6">
        <f>IFERROR(Info_Camas[[#This Row],[Lineas]]/Info_Camas[[#This Row],[Cortinas]],"Pendiente")</f>
        <v>21.3</v>
      </c>
    </row>
    <row r="254" spans="1:10" hidden="1" x14ac:dyDescent="0.25">
      <c r="A254" t="str">
        <f>+_xlfn.CONCAT(Info_Camas[[#This Row],[Bloque]],Info_Camas[[#This Row],[Lado]],Info_Camas[[#This Row],[Cama]])</f>
        <v>02A035</v>
      </c>
      <c r="B254" t="s">
        <v>739</v>
      </c>
      <c r="C254" t="s">
        <v>20</v>
      </c>
      <c r="D254" t="s">
        <v>15</v>
      </c>
      <c r="E254" t="s">
        <v>51</v>
      </c>
      <c r="F254" t="s">
        <v>130</v>
      </c>
      <c r="G254">
        <v>59.063000000000002</v>
      </c>
      <c r="H254" s="9">
        <v>10</v>
      </c>
      <c r="I254" s="9">
        <v>218</v>
      </c>
      <c r="J254" s="6">
        <f>IFERROR(Info_Camas[[#This Row],[Lineas]]/Info_Camas[[#This Row],[Cortinas]],"Pendiente")</f>
        <v>21.8</v>
      </c>
    </row>
    <row r="255" spans="1:10" hidden="1" x14ac:dyDescent="0.25">
      <c r="A255" t="str">
        <f>+_xlfn.CONCAT(Info_Camas[[#This Row],[Bloque]],Info_Camas[[#This Row],[Lado]],Info_Camas[[#This Row],[Cama]])</f>
        <v>02B035</v>
      </c>
      <c r="B255" t="s">
        <v>739</v>
      </c>
      <c r="C255" t="s">
        <v>20</v>
      </c>
      <c r="D255" t="s">
        <v>21</v>
      </c>
      <c r="E255" t="s">
        <v>51</v>
      </c>
      <c r="F255" t="s">
        <v>130</v>
      </c>
      <c r="G255">
        <v>59.063000000000002</v>
      </c>
      <c r="H255" s="9">
        <v>10</v>
      </c>
      <c r="I255" s="9">
        <v>214</v>
      </c>
      <c r="J255" s="6">
        <f>IFERROR(Info_Camas[[#This Row],[Lineas]]/Info_Camas[[#This Row],[Cortinas]],"Pendiente")</f>
        <v>21.4</v>
      </c>
    </row>
    <row r="256" spans="1:10" hidden="1" x14ac:dyDescent="0.25">
      <c r="A256" t="str">
        <f>+_xlfn.CONCAT(Info_Camas[[#This Row],[Bloque]],Info_Camas[[#This Row],[Lado]],Info_Camas[[#This Row],[Cama]])</f>
        <v>02A036</v>
      </c>
      <c r="B256" t="s">
        <v>739</v>
      </c>
      <c r="C256" t="s">
        <v>20</v>
      </c>
      <c r="D256" t="s">
        <v>15</v>
      </c>
      <c r="E256" t="s">
        <v>51</v>
      </c>
      <c r="F256" t="s">
        <v>132</v>
      </c>
      <c r="G256">
        <v>59.063000000000002</v>
      </c>
      <c r="H256" s="9">
        <v>10</v>
      </c>
      <c r="I256" s="9">
        <v>218</v>
      </c>
      <c r="J256" s="6">
        <f>IFERROR(Info_Camas[[#This Row],[Lineas]]/Info_Camas[[#This Row],[Cortinas]],"Pendiente")</f>
        <v>21.8</v>
      </c>
    </row>
    <row r="257" spans="1:10" hidden="1" x14ac:dyDescent="0.25">
      <c r="A257" t="str">
        <f>+_xlfn.CONCAT(Info_Camas[[#This Row],[Bloque]],Info_Camas[[#This Row],[Lado]],Info_Camas[[#This Row],[Cama]])</f>
        <v>02B036</v>
      </c>
      <c r="B257" t="s">
        <v>739</v>
      </c>
      <c r="C257" t="s">
        <v>20</v>
      </c>
      <c r="D257" t="s">
        <v>21</v>
      </c>
      <c r="E257" t="s">
        <v>51</v>
      </c>
      <c r="F257" t="s">
        <v>132</v>
      </c>
      <c r="G257">
        <v>59.063000000000002</v>
      </c>
      <c r="H257" s="9">
        <v>10</v>
      </c>
      <c r="I257" s="9">
        <v>218</v>
      </c>
      <c r="J257" s="6">
        <f>IFERROR(Info_Camas[[#This Row],[Lineas]]/Info_Camas[[#This Row],[Cortinas]],"Pendiente")</f>
        <v>21.8</v>
      </c>
    </row>
    <row r="258" spans="1:10" hidden="1" x14ac:dyDescent="0.25">
      <c r="A258" t="str">
        <f>+_xlfn.CONCAT(Info_Camas[[#This Row],[Bloque]],Info_Camas[[#This Row],[Lado]],Info_Camas[[#This Row],[Cama]])</f>
        <v>02A037</v>
      </c>
      <c r="B258" t="s">
        <v>739</v>
      </c>
      <c r="C258" t="s">
        <v>20</v>
      </c>
      <c r="D258" t="s">
        <v>15</v>
      </c>
      <c r="E258" t="s">
        <v>54</v>
      </c>
      <c r="F258" t="s">
        <v>134</v>
      </c>
      <c r="G258">
        <v>22.148599999999998</v>
      </c>
      <c r="H258" s="9">
        <v>10</v>
      </c>
      <c r="I258" s="9">
        <v>218</v>
      </c>
      <c r="J258" s="6">
        <f>IFERROR(Info_Camas[[#This Row],[Lineas]]/Info_Camas[[#This Row],[Cortinas]],"Pendiente")</f>
        <v>21.8</v>
      </c>
    </row>
    <row r="259" spans="1:10" hidden="1" x14ac:dyDescent="0.25">
      <c r="A259" t="str">
        <f>+_xlfn.CONCAT(Info_Camas[[#This Row],[Bloque]],Info_Camas[[#This Row],[Lado]],Info_Camas[[#This Row],[Cama]])</f>
        <v>02B037</v>
      </c>
      <c r="B259" t="s">
        <v>739</v>
      </c>
      <c r="C259" t="s">
        <v>20</v>
      </c>
      <c r="D259" t="s">
        <v>21</v>
      </c>
      <c r="E259" t="s">
        <v>54</v>
      </c>
      <c r="F259" t="s">
        <v>134</v>
      </c>
      <c r="G259">
        <v>41.339500000000001</v>
      </c>
      <c r="H259" s="9">
        <v>10</v>
      </c>
      <c r="I259" s="9">
        <v>215</v>
      </c>
      <c r="J259" s="6">
        <f>IFERROR(Info_Camas[[#This Row],[Lineas]]/Info_Camas[[#This Row],[Cortinas]],"Pendiente")</f>
        <v>21.5</v>
      </c>
    </row>
    <row r="260" spans="1:10" hidden="1" x14ac:dyDescent="0.25">
      <c r="A260" t="str">
        <f>+_xlfn.CONCAT(Info_Camas[[#This Row],[Bloque]],Info_Camas[[#This Row],[Lado]],Info_Camas[[#This Row],[Cama]])</f>
        <v>02A038</v>
      </c>
      <c r="B260" t="s">
        <v>739</v>
      </c>
      <c r="C260" t="s">
        <v>20</v>
      </c>
      <c r="D260" t="s">
        <v>15</v>
      </c>
      <c r="E260" t="s">
        <v>54</v>
      </c>
      <c r="F260" t="s">
        <v>137</v>
      </c>
      <c r="G260">
        <v>59.063000000000002</v>
      </c>
      <c r="H260" s="9">
        <v>10</v>
      </c>
      <c r="I260" s="9">
        <v>218</v>
      </c>
      <c r="J260" s="6">
        <f>IFERROR(Info_Camas[[#This Row],[Lineas]]/Info_Camas[[#This Row],[Cortinas]],"Pendiente")</f>
        <v>21.8</v>
      </c>
    </row>
    <row r="261" spans="1:10" hidden="1" x14ac:dyDescent="0.25">
      <c r="A261" t="str">
        <f>+_xlfn.CONCAT(Info_Camas[[#This Row],[Bloque]],Info_Camas[[#This Row],[Lado]],Info_Camas[[#This Row],[Cama]])</f>
        <v>02B038</v>
      </c>
      <c r="B261" t="s">
        <v>739</v>
      </c>
      <c r="C261" t="s">
        <v>20</v>
      </c>
      <c r="D261" t="s">
        <v>21</v>
      </c>
      <c r="E261" t="s">
        <v>54</v>
      </c>
      <c r="F261" t="s">
        <v>137</v>
      </c>
      <c r="G261">
        <v>59.063000000000002</v>
      </c>
      <c r="H261" s="9">
        <v>10</v>
      </c>
      <c r="I261" s="9">
        <v>214</v>
      </c>
      <c r="J261" s="6">
        <f>IFERROR(Info_Camas[[#This Row],[Lineas]]/Info_Camas[[#This Row],[Cortinas]],"Pendiente")</f>
        <v>21.4</v>
      </c>
    </row>
    <row r="262" spans="1:10" hidden="1" x14ac:dyDescent="0.25">
      <c r="A262" t="str">
        <f>+_xlfn.CONCAT(Info_Camas[[#This Row],[Bloque]],Info_Camas[[#This Row],[Lado]],Info_Camas[[#This Row],[Cama]])</f>
        <v>02A039</v>
      </c>
      <c r="B262" t="s">
        <v>739</v>
      </c>
      <c r="C262" t="s">
        <v>20</v>
      </c>
      <c r="D262" t="s">
        <v>15</v>
      </c>
      <c r="E262" t="s">
        <v>54</v>
      </c>
      <c r="F262" t="s">
        <v>139</v>
      </c>
      <c r="G262">
        <v>59.063000000000002</v>
      </c>
      <c r="H262" s="9">
        <v>10</v>
      </c>
      <c r="I262" s="9">
        <v>218</v>
      </c>
      <c r="J262" s="6">
        <f>IFERROR(Info_Camas[[#This Row],[Lineas]]/Info_Camas[[#This Row],[Cortinas]],"Pendiente")</f>
        <v>21.8</v>
      </c>
    </row>
    <row r="263" spans="1:10" hidden="1" x14ac:dyDescent="0.25">
      <c r="A263" t="str">
        <f>+_xlfn.CONCAT(Info_Camas[[#This Row],[Bloque]],Info_Camas[[#This Row],[Lado]],Info_Camas[[#This Row],[Cama]])</f>
        <v>02B039</v>
      </c>
      <c r="B263" t="s">
        <v>739</v>
      </c>
      <c r="C263" t="s">
        <v>20</v>
      </c>
      <c r="D263" t="s">
        <v>21</v>
      </c>
      <c r="E263" t="s">
        <v>54</v>
      </c>
      <c r="F263" t="s">
        <v>139</v>
      </c>
      <c r="G263">
        <v>59.063000000000002</v>
      </c>
      <c r="H263" s="9">
        <v>10</v>
      </c>
      <c r="I263" s="9">
        <v>215</v>
      </c>
      <c r="J263" s="6">
        <f>IFERROR(Info_Camas[[#This Row],[Lineas]]/Info_Camas[[#This Row],[Cortinas]],"Pendiente")</f>
        <v>21.5</v>
      </c>
    </row>
    <row r="264" spans="1:10" hidden="1" x14ac:dyDescent="0.25">
      <c r="A264" t="str">
        <f>+_xlfn.CONCAT(Info_Camas[[#This Row],[Bloque]],Info_Camas[[#This Row],[Lado]],Info_Camas[[#This Row],[Cama]])</f>
        <v>02A040</v>
      </c>
      <c r="B264" t="s">
        <v>739</v>
      </c>
      <c r="C264" t="s">
        <v>20</v>
      </c>
      <c r="D264" t="s">
        <v>15</v>
      </c>
      <c r="E264" t="s">
        <v>54</v>
      </c>
      <c r="F264" t="s">
        <v>141</v>
      </c>
      <c r="G264">
        <v>59.063000000000002</v>
      </c>
      <c r="H264" s="9">
        <v>10</v>
      </c>
      <c r="I264" s="9">
        <v>218</v>
      </c>
      <c r="J264" s="6">
        <f>IFERROR(Info_Camas[[#This Row],[Lineas]]/Info_Camas[[#This Row],[Cortinas]],"Pendiente")</f>
        <v>21.8</v>
      </c>
    </row>
    <row r="265" spans="1:10" hidden="1" x14ac:dyDescent="0.25">
      <c r="A265" t="str">
        <f>+_xlfn.CONCAT(Info_Camas[[#This Row],[Bloque]],Info_Camas[[#This Row],[Lado]],Info_Camas[[#This Row],[Cama]])</f>
        <v>02B040</v>
      </c>
      <c r="B265" t="s">
        <v>739</v>
      </c>
      <c r="C265" t="s">
        <v>20</v>
      </c>
      <c r="D265" t="s">
        <v>21</v>
      </c>
      <c r="E265" t="s">
        <v>54</v>
      </c>
      <c r="F265" t="s">
        <v>141</v>
      </c>
      <c r="G265">
        <v>59.063000000000002</v>
      </c>
      <c r="H265" s="9">
        <v>10</v>
      </c>
      <c r="I265" s="9">
        <v>214</v>
      </c>
      <c r="J265" s="6">
        <f>IFERROR(Info_Camas[[#This Row],[Lineas]]/Info_Camas[[#This Row],[Cortinas]],"Pendiente")</f>
        <v>21.4</v>
      </c>
    </row>
    <row r="266" spans="1:10" hidden="1" x14ac:dyDescent="0.25">
      <c r="A266" t="str">
        <f>+_xlfn.CONCAT(Info_Camas[[#This Row],[Bloque]],Info_Camas[[#This Row],[Lado]],Info_Camas[[#This Row],[Cama]])</f>
        <v>02A041</v>
      </c>
      <c r="B266" t="s">
        <v>739</v>
      </c>
      <c r="C266" t="s">
        <v>20</v>
      </c>
      <c r="D266" t="s">
        <v>15</v>
      </c>
      <c r="E266" t="s">
        <v>57</v>
      </c>
      <c r="F266" t="s">
        <v>143</v>
      </c>
      <c r="G266">
        <v>59.063000000000002</v>
      </c>
      <c r="H266" s="9">
        <v>10</v>
      </c>
      <c r="I266" s="9">
        <v>218</v>
      </c>
      <c r="J266" s="6">
        <f>IFERROR(Info_Camas[[#This Row],[Lineas]]/Info_Camas[[#This Row],[Cortinas]],"Pendiente")</f>
        <v>21.8</v>
      </c>
    </row>
    <row r="267" spans="1:10" hidden="1" x14ac:dyDescent="0.25">
      <c r="A267" t="str">
        <f>+_xlfn.CONCAT(Info_Camas[[#This Row],[Bloque]],Info_Camas[[#This Row],[Lado]],Info_Camas[[#This Row],[Cama]])</f>
        <v>02B041</v>
      </c>
      <c r="B267" t="s">
        <v>739</v>
      </c>
      <c r="C267" t="s">
        <v>20</v>
      </c>
      <c r="D267" t="s">
        <v>21</v>
      </c>
      <c r="E267" t="s">
        <v>57</v>
      </c>
      <c r="F267" t="s">
        <v>143</v>
      </c>
      <c r="G267">
        <v>59.063000000000002</v>
      </c>
      <c r="H267" s="9">
        <v>10</v>
      </c>
      <c r="I267" s="9">
        <v>203</v>
      </c>
      <c r="J267" s="6">
        <f>IFERROR(Info_Camas[[#This Row],[Lineas]]/Info_Camas[[#This Row],[Cortinas]],"Pendiente")</f>
        <v>20.3</v>
      </c>
    </row>
    <row r="268" spans="1:10" hidden="1" x14ac:dyDescent="0.25">
      <c r="A268" t="str">
        <f>+_xlfn.CONCAT(Info_Camas[[#This Row],[Bloque]],Info_Camas[[#This Row],[Lado]],Info_Camas[[#This Row],[Cama]])</f>
        <v>02A042</v>
      </c>
      <c r="B268" t="s">
        <v>739</v>
      </c>
      <c r="C268" t="s">
        <v>20</v>
      </c>
      <c r="D268" t="s">
        <v>15</v>
      </c>
      <c r="E268" t="s">
        <v>57</v>
      </c>
      <c r="F268" t="s">
        <v>145</v>
      </c>
      <c r="G268">
        <v>59.063000000000002</v>
      </c>
      <c r="H268" s="9">
        <v>10</v>
      </c>
      <c r="I268" s="9">
        <v>218</v>
      </c>
      <c r="J268" s="6">
        <f>IFERROR(Info_Camas[[#This Row],[Lineas]]/Info_Camas[[#This Row],[Cortinas]],"Pendiente")</f>
        <v>21.8</v>
      </c>
    </row>
    <row r="269" spans="1:10" hidden="1" x14ac:dyDescent="0.25">
      <c r="A269" t="str">
        <f>+_xlfn.CONCAT(Info_Camas[[#This Row],[Bloque]],Info_Camas[[#This Row],[Lado]],Info_Camas[[#This Row],[Cama]])</f>
        <v>02B042</v>
      </c>
      <c r="B269" t="s">
        <v>739</v>
      </c>
      <c r="C269" t="s">
        <v>20</v>
      </c>
      <c r="D269" t="s">
        <v>21</v>
      </c>
      <c r="E269" t="s">
        <v>57</v>
      </c>
      <c r="F269" t="s">
        <v>145</v>
      </c>
      <c r="G269">
        <v>59.063000000000002</v>
      </c>
      <c r="H269" s="9">
        <v>10</v>
      </c>
      <c r="I269" s="9">
        <v>202</v>
      </c>
      <c r="J269" s="6">
        <f>IFERROR(Info_Camas[[#This Row],[Lineas]]/Info_Camas[[#This Row],[Cortinas]],"Pendiente")</f>
        <v>20.2</v>
      </c>
    </row>
    <row r="270" spans="1:10" hidden="1" x14ac:dyDescent="0.25">
      <c r="A270" t="str">
        <f>+_xlfn.CONCAT(Info_Camas[[#This Row],[Bloque]],Info_Camas[[#This Row],[Lado]],Info_Camas[[#This Row],[Cama]])</f>
        <v>02A043</v>
      </c>
      <c r="B270" t="s">
        <v>739</v>
      </c>
      <c r="C270" t="s">
        <v>20</v>
      </c>
      <c r="D270" t="s">
        <v>15</v>
      </c>
      <c r="E270" t="s">
        <v>57</v>
      </c>
      <c r="F270" t="s">
        <v>147</v>
      </c>
      <c r="G270">
        <v>59.063000000000002</v>
      </c>
      <c r="H270" s="9">
        <v>10</v>
      </c>
      <c r="I270" s="9">
        <v>220</v>
      </c>
      <c r="J270" s="6">
        <f>IFERROR(Info_Camas[[#This Row],[Lineas]]/Info_Camas[[#This Row],[Cortinas]],"Pendiente")</f>
        <v>22</v>
      </c>
    </row>
    <row r="271" spans="1:10" hidden="1" x14ac:dyDescent="0.25">
      <c r="A271" t="str">
        <f>+_xlfn.CONCAT(Info_Camas[[#This Row],[Bloque]],Info_Camas[[#This Row],[Lado]],Info_Camas[[#This Row],[Cama]])</f>
        <v>02B043</v>
      </c>
      <c r="B271" t="s">
        <v>739</v>
      </c>
      <c r="C271" t="s">
        <v>20</v>
      </c>
      <c r="D271" t="s">
        <v>21</v>
      </c>
      <c r="E271" t="s">
        <v>57</v>
      </c>
      <c r="F271" t="s">
        <v>147</v>
      </c>
      <c r="G271">
        <v>59.063000000000002</v>
      </c>
      <c r="H271" s="9">
        <v>10</v>
      </c>
      <c r="I271" s="9">
        <v>201</v>
      </c>
      <c r="J271" s="6">
        <f>IFERROR(Info_Camas[[#This Row],[Lineas]]/Info_Camas[[#This Row],[Cortinas]],"Pendiente")</f>
        <v>20.100000000000001</v>
      </c>
    </row>
    <row r="272" spans="1:10" hidden="1" x14ac:dyDescent="0.25">
      <c r="A272" t="str">
        <f>+_xlfn.CONCAT(Info_Camas[[#This Row],[Bloque]],Info_Camas[[#This Row],[Lado]],Info_Camas[[#This Row],[Cama]])</f>
        <v>02A044</v>
      </c>
      <c r="B272" t="s">
        <v>739</v>
      </c>
      <c r="C272" t="s">
        <v>20</v>
      </c>
      <c r="D272" t="s">
        <v>15</v>
      </c>
      <c r="E272" t="s">
        <v>57</v>
      </c>
      <c r="F272" t="s">
        <v>149</v>
      </c>
      <c r="G272">
        <v>59.063000000000002</v>
      </c>
      <c r="H272" s="9">
        <v>10</v>
      </c>
      <c r="I272" s="9">
        <v>220</v>
      </c>
      <c r="J272" s="6">
        <f>IFERROR(Info_Camas[[#This Row],[Lineas]]/Info_Camas[[#This Row],[Cortinas]],"Pendiente")</f>
        <v>22</v>
      </c>
    </row>
    <row r="273" spans="1:10" hidden="1" x14ac:dyDescent="0.25">
      <c r="A273" t="str">
        <f>+_xlfn.CONCAT(Info_Camas[[#This Row],[Bloque]],Info_Camas[[#This Row],[Lado]],Info_Camas[[#This Row],[Cama]])</f>
        <v>02B044</v>
      </c>
      <c r="B273" t="s">
        <v>739</v>
      </c>
      <c r="C273" t="s">
        <v>20</v>
      </c>
      <c r="D273" t="s">
        <v>21</v>
      </c>
      <c r="E273" t="s">
        <v>57</v>
      </c>
      <c r="F273" t="s">
        <v>149</v>
      </c>
      <c r="G273">
        <v>59.063000000000002</v>
      </c>
      <c r="H273" s="9">
        <v>10</v>
      </c>
      <c r="I273" s="9">
        <v>202</v>
      </c>
      <c r="J273" s="6">
        <f>IFERROR(Info_Camas[[#This Row],[Lineas]]/Info_Camas[[#This Row],[Cortinas]],"Pendiente")</f>
        <v>20.2</v>
      </c>
    </row>
    <row r="274" spans="1:10" hidden="1" x14ac:dyDescent="0.25">
      <c r="A274" t="str">
        <f>+_xlfn.CONCAT(Info_Camas[[#This Row],[Bloque]],Info_Camas[[#This Row],[Lado]],Info_Camas[[#This Row],[Cama]])</f>
        <v>02A045</v>
      </c>
      <c r="B274" t="s">
        <v>739</v>
      </c>
      <c r="C274" t="s">
        <v>20</v>
      </c>
      <c r="D274" t="s">
        <v>15</v>
      </c>
      <c r="E274" t="s">
        <v>61</v>
      </c>
      <c r="F274" t="s">
        <v>151</v>
      </c>
      <c r="G274">
        <v>59.063000000000002</v>
      </c>
      <c r="H274" s="9">
        <v>10</v>
      </c>
      <c r="I274" s="9">
        <v>218</v>
      </c>
      <c r="J274" s="6">
        <f>IFERROR(Info_Camas[[#This Row],[Lineas]]/Info_Camas[[#This Row],[Cortinas]],"Pendiente")</f>
        <v>21.8</v>
      </c>
    </row>
    <row r="275" spans="1:10" hidden="1" x14ac:dyDescent="0.25">
      <c r="A275" t="str">
        <f>+_xlfn.CONCAT(Info_Camas[[#This Row],[Bloque]],Info_Camas[[#This Row],[Lado]],Info_Camas[[#This Row],[Cama]])</f>
        <v>02B045</v>
      </c>
      <c r="B275" t="s">
        <v>739</v>
      </c>
      <c r="C275" t="s">
        <v>20</v>
      </c>
      <c r="D275" t="s">
        <v>21</v>
      </c>
      <c r="E275" t="s">
        <v>61</v>
      </c>
      <c r="F275" t="s">
        <v>151</v>
      </c>
      <c r="G275">
        <v>59.063000000000002</v>
      </c>
      <c r="H275" s="9">
        <v>10</v>
      </c>
      <c r="I275" s="9">
        <v>213</v>
      </c>
      <c r="J275" s="6">
        <f>IFERROR(Info_Camas[[#This Row],[Lineas]]/Info_Camas[[#This Row],[Cortinas]],"Pendiente")</f>
        <v>21.3</v>
      </c>
    </row>
    <row r="276" spans="1:10" hidden="1" x14ac:dyDescent="0.25">
      <c r="A276" t="str">
        <f>+_xlfn.CONCAT(Info_Camas[[#This Row],[Bloque]],Info_Camas[[#This Row],[Lado]],Info_Camas[[#This Row],[Cama]])</f>
        <v>02A046</v>
      </c>
      <c r="B276" t="s">
        <v>739</v>
      </c>
      <c r="C276" t="s">
        <v>20</v>
      </c>
      <c r="D276" t="s">
        <v>15</v>
      </c>
      <c r="E276" t="s">
        <v>61</v>
      </c>
      <c r="F276" t="s">
        <v>153</v>
      </c>
      <c r="G276">
        <v>59.063000000000002</v>
      </c>
      <c r="H276" s="9">
        <v>10</v>
      </c>
      <c r="I276" s="9">
        <v>218</v>
      </c>
      <c r="J276" s="6">
        <f>IFERROR(Info_Camas[[#This Row],[Lineas]]/Info_Camas[[#This Row],[Cortinas]],"Pendiente")</f>
        <v>21.8</v>
      </c>
    </row>
    <row r="277" spans="1:10" hidden="1" x14ac:dyDescent="0.25">
      <c r="A277" t="str">
        <f>+_xlfn.CONCAT(Info_Camas[[#This Row],[Bloque]],Info_Camas[[#This Row],[Lado]],Info_Camas[[#This Row],[Cama]])</f>
        <v>02B046</v>
      </c>
      <c r="B277" t="s">
        <v>739</v>
      </c>
      <c r="C277" t="s">
        <v>20</v>
      </c>
      <c r="D277" t="s">
        <v>21</v>
      </c>
      <c r="E277" t="s">
        <v>61</v>
      </c>
      <c r="F277" t="s">
        <v>153</v>
      </c>
      <c r="G277">
        <v>59.063000000000002</v>
      </c>
      <c r="H277" s="9">
        <v>10</v>
      </c>
      <c r="I277" s="9">
        <v>214</v>
      </c>
      <c r="J277" s="6">
        <f>IFERROR(Info_Camas[[#This Row],[Lineas]]/Info_Camas[[#This Row],[Cortinas]],"Pendiente")</f>
        <v>21.4</v>
      </c>
    </row>
    <row r="278" spans="1:10" hidden="1" x14ac:dyDescent="0.25">
      <c r="A278" t="str">
        <f>+_xlfn.CONCAT(Info_Camas[[#This Row],[Bloque]],Info_Camas[[#This Row],[Lado]],Info_Camas[[#This Row],[Cama]])</f>
        <v>02A047</v>
      </c>
      <c r="B278" t="s">
        <v>739</v>
      </c>
      <c r="C278" t="s">
        <v>20</v>
      </c>
      <c r="D278" t="s">
        <v>15</v>
      </c>
      <c r="E278" t="s">
        <v>61</v>
      </c>
      <c r="F278" t="s">
        <v>155</v>
      </c>
      <c r="G278">
        <v>59.063000000000002</v>
      </c>
      <c r="H278" s="9">
        <v>10</v>
      </c>
      <c r="I278" s="9">
        <v>219</v>
      </c>
      <c r="J278" s="6">
        <f>IFERROR(Info_Camas[[#This Row],[Lineas]]/Info_Camas[[#This Row],[Cortinas]],"Pendiente")</f>
        <v>21.9</v>
      </c>
    </row>
    <row r="279" spans="1:10" hidden="1" x14ac:dyDescent="0.25">
      <c r="A279" t="str">
        <f>+_xlfn.CONCAT(Info_Camas[[#This Row],[Bloque]],Info_Camas[[#This Row],[Lado]],Info_Camas[[#This Row],[Cama]])</f>
        <v>02B047</v>
      </c>
      <c r="B279" t="s">
        <v>739</v>
      </c>
      <c r="C279" t="s">
        <v>20</v>
      </c>
      <c r="D279" t="s">
        <v>21</v>
      </c>
      <c r="E279" t="s">
        <v>61</v>
      </c>
      <c r="F279" t="s">
        <v>155</v>
      </c>
      <c r="G279">
        <v>59.063000000000002</v>
      </c>
      <c r="H279" s="9">
        <v>10</v>
      </c>
      <c r="I279" s="9">
        <v>212</v>
      </c>
      <c r="J279" s="6">
        <f>IFERROR(Info_Camas[[#This Row],[Lineas]]/Info_Camas[[#This Row],[Cortinas]],"Pendiente")</f>
        <v>21.2</v>
      </c>
    </row>
    <row r="280" spans="1:10" hidden="1" x14ac:dyDescent="0.25">
      <c r="A280" t="str">
        <f>+_xlfn.CONCAT(Info_Camas[[#This Row],[Bloque]],Info_Camas[[#This Row],[Lado]],Info_Camas[[#This Row],[Cama]])</f>
        <v>02A048</v>
      </c>
      <c r="B280" t="s">
        <v>739</v>
      </c>
      <c r="C280" t="s">
        <v>20</v>
      </c>
      <c r="D280" t="s">
        <v>15</v>
      </c>
      <c r="E280" t="s">
        <v>61</v>
      </c>
      <c r="F280" t="s">
        <v>158</v>
      </c>
      <c r="G280">
        <v>59.063000000000002</v>
      </c>
      <c r="H280" s="9">
        <v>10</v>
      </c>
      <c r="I280" s="9">
        <v>219</v>
      </c>
      <c r="J280" s="6">
        <f>IFERROR(Info_Camas[[#This Row],[Lineas]]/Info_Camas[[#This Row],[Cortinas]],"Pendiente")</f>
        <v>21.9</v>
      </c>
    </row>
    <row r="281" spans="1:10" hidden="1" x14ac:dyDescent="0.25">
      <c r="A281" t="str">
        <f>+_xlfn.CONCAT(Info_Camas[[#This Row],[Bloque]],Info_Camas[[#This Row],[Lado]],Info_Camas[[#This Row],[Cama]])</f>
        <v>02B048</v>
      </c>
      <c r="B281" t="s">
        <v>739</v>
      </c>
      <c r="C281" t="s">
        <v>20</v>
      </c>
      <c r="D281" t="s">
        <v>21</v>
      </c>
      <c r="E281" t="s">
        <v>61</v>
      </c>
      <c r="F281" t="s">
        <v>158</v>
      </c>
      <c r="G281">
        <v>53.8962</v>
      </c>
      <c r="H281" s="9">
        <v>10</v>
      </c>
      <c r="I281" s="9">
        <v>213</v>
      </c>
      <c r="J281" s="6">
        <f>IFERROR(Info_Camas[[#This Row],[Lineas]]/Info_Camas[[#This Row],[Cortinas]],"Pendiente")</f>
        <v>21.3</v>
      </c>
    </row>
    <row r="282" spans="1:10" hidden="1" x14ac:dyDescent="0.25">
      <c r="A282" t="str">
        <f>+_xlfn.CONCAT(Info_Camas[[#This Row],[Bloque]],Info_Camas[[#This Row],[Lado]],Info_Camas[[#This Row],[Cama]])</f>
        <v>02A049</v>
      </c>
      <c r="B282" t="s">
        <v>739</v>
      </c>
      <c r="C282" t="s">
        <v>20</v>
      </c>
      <c r="D282" t="s">
        <v>15</v>
      </c>
      <c r="E282" t="s">
        <v>64</v>
      </c>
      <c r="F282" t="s">
        <v>161</v>
      </c>
      <c r="G282">
        <v>51.9863</v>
      </c>
      <c r="H282" s="9">
        <v>10</v>
      </c>
      <c r="I282" s="9">
        <v>219</v>
      </c>
      <c r="J282" s="6">
        <f>IFERROR(Info_Camas[[#This Row],[Lineas]]/Info_Camas[[#This Row],[Cortinas]],"Pendiente")</f>
        <v>21.9</v>
      </c>
    </row>
    <row r="283" spans="1:10" hidden="1" x14ac:dyDescent="0.25">
      <c r="A283" t="str">
        <f>+_xlfn.CONCAT(Info_Camas[[#This Row],[Bloque]],Info_Camas[[#This Row],[Lado]],Info_Camas[[#This Row],[Cama]])</f>
        <v>02B049</v>
      </c>
      <c r="B283" t="s">
        <v>739</v>
      </c>
      <c r="C283" t="s">
        <v>20</v>
      </c>
      <c r="D283" t="s">
        <v>21</v>
      </c>
      <c r="E283" t="s">
        <v>64</v>
      </c>
      <c r="F283" t="s">
        <v>161</v>
      </c>
      <c r="G283">
        <v>6.4615</v>
      </c>
      <c r="H283" s="9">
        <v>10</v>
      </c>
      <c r="I283" s="9">
        <v>212</v>
      </c>
      <c r="J283" s="6">
        <f>IFERROR(Info_Camas[[#This Row],[Lineas]]/Info_Camas[[#This Row],[Cortinas]],"Pendiente")</f>
        <v>21.2</v>
      </c>
    </row>
    <row r="284" spans="1:10" hidden="1" x14ac:dyDescent="0.25">
      <c r="A284" t="str">
        <f>+_xlfn.CONCAT(Info_Camas[[#This Row],[Bloque]],Info_Camas[[#This Row],[Lado]],Info_Camas[[#This Row],[Cama]])</f>
        <v>02A050</v>
      </c>
      <c r="B284" t="s">
        <v>739</v>
      </c>
      <c r="C284" t="s">
        <v>20</v>
      </c>
      <c r="D284" t="s">
        <v>15</v>
      </c>
      <c r="E284" t="s">
        <v>64</v>
      </c>
      <c r="F284" t="s">
        <v>163</v>
      </c>
      <c r="G284">
        <v>59.063000000000002</v>
      </c>
      <c r="H284" s="9">
        <v>10</v>
      </c>
      <c r="I284" s="9">
        <v>218</v>
      </c>
      <c r="J284" s="6">
        <f>IFERROR(Info_Camas[[#This Row],[Lineas]]/Info_Camas[[#This Row],[Cortinas]],"Pendiente")</f>
        <v>21.8</v>
      </c>
    </row>
    <row r="285" spans="1:10" hidden="1" x14ac:dyDescent="0.25">
      <c r="A285" t="str">
        <f>+_xlfn.CONCAT(Info_Camas[[#This Row],[Bloque]],Info_Camas[[#This Row],[Lado]],Info_Camas[[#This Row],[Cama]])</f>
        <v>02B050</v>
      </c>
      <c r="B285" t="s">
        <v>739</v>
      </c>
      <c r="C285" t="s">
        <v>20</v>
      </c>
      <c r="D285" t="s">
        <v>21</v>
      </c>
      <c r="E285" t="s">
        <v>64</v>
      </c>
      <c r="F285" t="s">
        <v>163</v>
      </c>
      <c r="G285">
        <v>59.063000000000002</v>
      </c>
      <c r="H285" s="9">
        <v>10</v>
      </c>
      <c r="I285" s="9">
        <v>213</v>
      </c>
      <c r="J285" s="6">
        <f>IFERROR(Info_Camas[[#This Row],[Lineas]]/Info_Camas[[#This Row],[Cortinas]],"Pendiente")</f>
        <v>21.3</v>
      </c>
    </row>
    <row r="286" spans="1:10" hidden="1" x14ac:dyDescent="0.25">
      <c r="A286" t="str">
        <f>+_xlfn.CONCAT(Info_Camas[[#This Row],[Bloque]],Info_Camas[[#This Row],[Lado]],Info_Camas[[#This Row],[Cama]])</f>
        <v>02A051</v>
      </c>
      <c r="B286" t="s">
        <v>739</v>
      </c>
      <c r="C286" t="s">
        <v>20</v>
      </c>
      <c r="D286" t="s">
        <v>15</v>
      </c>
      <c r="E286" t="s">
        <v>64</v>
      </c>
      <c r="F286" t="s">
        <v>165</v>
      </c>
      <c r="G286">
        <v>59.063000000000002</v>
      </c>
      <c r="H286" s="9">
        <v>10</v>
      </c>
      <c r="I286" s="9">
        <v>219</v>
      </c>
      <c r="J286" s="6">
        <f>IFERROR(Info_Camas[[#This Row],[Lineas]]/Info_Camas[[#This Row],[Cortinas]],"Pendiente")</f>
        <v>21.9</v>
      </c>
    </row>
    <row r="287" spans="1:10" hidden="1" x14ac:dyDescent="0.25">
      <c r="A287" t="str">
        <f>+_xlfn.CONCAT(Info_Camas[[#This Row],[Bloque]],Info_Camas[[#This Row],[Lado]],Info_Camas[[#This Row],[Cama]])</f>
        <v>02B051</v>
      </c>
      <c r="B287" t="s">
        <v>739</v>
      </c>
      <c r="C287" t="s">
        <v>20</v>
      </c>
      <c r="D287" t="s">
        <v>21</v>
      </c>
      <c r="E287" t="s">
        <v>64</v>
      </c>
      <c r="F287" t="s">
        <v>165</v>
      </c>
      <c r="G287">
        <v>59.063000000000002</v>
      </c>
      <c r="H287" s="9">
        <v>10</v>
      </c>
      <c r="I287" s="9">
        <v>215</v>
      </c>
      <c r="J287" s="6">
        <f>IFERROR(Info_Camas[[#This Row],[Lineas]]/Info_Camas[[#This Row],[Cortinas]],"Pendiente")</f>
        <v>21.5</v>
      </c>
    </row>
    <row r="288" spans="1:10" hidden="1" x14ac:dyDescent="0.25">
      <c r="A288" t="str">
        <f>+_xlfn.CONCAT(Info_Camas[[#This Row],[Bloque]],Info_Camas[[#This Row],[Lado]],Info_Camas[[#This Row],[Cama]])</f>
        <v>02A052</v>
      </c>
      <c r="B288" t="s">
        <v>739</v>
      </c>
      <c r="C288" t="s">
        <v>20</v>
      </c>
      <c r="D288" t="s">
        <v>15</v>
      </c>
      <c r="E288" t="s">
        <v>64</v>
      </c>
      <c r="F288" t="s">
        <v>167</v>
      </c>
      <c r="G288">
        <v>59.063000000000002</v>
      </c>
      <c r="H288" s="9">
        <v>10</v>
      </c>
      <c r="I288" s="9">
        <v>218</v>
      </c>
      <c r="J288" s="6">
        <f>IFERROR(Info_Camas[[#This Row],[Lineas]]/Info_Camas[[#This Row],[Cortinas]],"Pendiente")</f>
        <v>21.8</v>
      </c>
    </row>
    <row r="289" spans="1:10" hidden="1" x14ac:dyDescent="0.25">
      <c r="A289" t="str">
        <f>+_xlfn.CONCAT(Info_Camas[[#This Row],[Bloque]],Info_Camas[[#This Row],[Lado]],Info_Camas[[#This Row],[Cama]])</f>
        <v>02B052</v>
      </c>
      <c r="B289" t="s">
        <v>739</v>
      </c>
      <c r="C289" t="s">
        <v>20</v>
      </c>
      <c r="D289" t="s">
        <v>21</v>
      </c>
      <c r="E289" t="s">
        <v>64</v>
      </c>
      <c r="F289" t="s">
        <v>167</v>
      </c>
      <c r="G289">
        <v>59.063000000000002</v>
      </c>
      <c r="H289" s="9">
        <v>10</v>
      </c>
      <c r="I289" s="9">
        <v>212</v>
      </c>
      <c r="J289" s="6">
        <f>IFERROR(Info_Camas[[#This Row],[Lineas]]/Info_Camas[[#This Row],[Cortinas]],"Pendiente")</f>
        <v>21.2</v>
      </c>
    </row>
    <row r="290" spans="1:10" hidden="1" x14ac:dyDescent="0.25">
      <c r="A290" t="str">
        <f>+_xlfn.CONCAT(Info_Camas[[#This Row],[Bloque]],Info_Camas[[#This Row],[Lado]],Info_Camas[[#This Row],[Cama]])</f>
        <v>02A053</v>
      </c>
      <c r="B290" t="s">
        <v>739</v>
      </c>
      <c r="C290" t="s">
        <v>20</v>
      </c>
      <c r="D290" t="s">
        <v>15</v>
      </c>
      <c r="E290" t="s">
        <v>67</v>
      </c>
      <c r="F290" t="s">
        <v>169</v>
      </c>
      <c r="G290">
        <v>35.801900000000003</v>
      </c>
      <c r="H290" s="9">
        <v>10</v>
      </c>
      <c r="I290" s="9">
        <v>219</v>
      </c>
      <c r="J290" s="6">
        <f>IFERROR(Info_Camas[[#This Row],[Lineas]]/Info_Camas[[#This Row],[Cortinas]],"Pendiente")</f>
        <v>21.9</v>
      </c>
    </row>
    <row r="291" spans="1:10" hidden="1" x14ac:dyDescent="0.25">
      <c r="A291" t="str">
        <f>+_xlfn.CONCAT(Info_Camas[[#This Row],[Bloque]],Info_Camas[[#This Row],[Lado]],Info_Camas[[#This Row],[Cama]])</f>
        <v>02B053</v>
      </c>
      <c r="B291" t="s">
        <v>739</v>
      </c>
      <c r="C291" t="s">
        <v>20</v>
      </c>
      <c r="D291" t="s">
        <v>21</v>
      </c>
      <c r="E291" t="s">
        <v>67</v>
      </c>
      <c r="F291" t="s">
        <v>169</v>
      </c>
      <c r="G291">
        <v>59.063000000000002</v>
      </c>
      <c r="H291" s="9">
        <v>10</v>
      </c>
      <c r="I291" s="9">
        <v>215</v>
      </c>
      <c r="J291" s="6">
        <f>IFERROR(Info_Camas[[#This Row],[Lineas]]/Info_Camas[[#This Row],[Cortinas]],"Pendiente")</f>
        <v>21.5</v>
      </c>
    </row>
    <row r="292" spans="1:10" hidden="1" x14ac:dyDescent="0.25">
      <c r="A292" t="str">
        <f>+_xlfn.CONCAT(Info_Camas[[#This Row],[Bloque]],Info_Camas[[#This Row],[Lado]],Info_Camas[[#This Row],[Cama]])</f>
        <v>02A054</v>
      </c>
      <c r="B292" t="s">
        <v>739</v>
      </c>
      <c r="C292" t="s">
        <v>20</v>
      </c>
      <c r="D292" t="s">
        <v>15</v>
      </c>
      <c r="E292" t="s">
        <v>67</v>
      </c>
      <c r="F292" t="s">
        <v>171</v>
      </c>
      <c r="G292">
        <v>59.063000000000002</v>
      </c>
      <c r="H292" s="9">
        <v>10</v>
      </c>
      <c r="I292" s="9">
        <v>209</v>
      </c>
      <c r="J292" s="6">
        <f>IFERROR(Info_Camas[[#This Row],[Lineas]]/Info_Camas[[#This Row],[Cortinas]],"Pendiente")</f>
        <v>20.9</v>
      </c>
    </row>
    <row r="293" spans="1:10" hidden="1" x14ac:dyDescent="0.25">
      <c r="A293" t="str">
        <f>+_xlfn.CONCAT(Info_Camas[[#This Row],[Bloque]],Info_Camas[[#This Row],[Lado]],Info_Camas[[#This Row],[Cama]])</f>
        <v>02B054</v>
      </c>
      <c r="B293" t="s">
        <v>739</v>
      </c>
      <c r="C293" t="s">
        <v>20</v>
      </c>
      <c r="D293" t="s">
        <v>21</v>
      </c>
      <c r="E293" t="s">
        <v>67</v>
      </c>
      <c r="F293" t="s">
        <v>171</v>
      </c>
      <c r="G293">
        <v>59.063000000000002</v>
      </c>
      <c r="H293" s="9">
        <v>10</v>
      </c>
      <c r="I293" s="9">
        <v>212</v>
      </c>
      <c r="J293" s="6">
        <f>IFERROR(Info_Camas[[#This Row],[Lineas]]/Info_Camas[[#This Row],[Cortinas]],"Pendiente")</f>
        <v>21.2</v>
      </c>
    </row>
    <row r="294" spans="1:10" hidden="1" x14ac:dyDescent="0.25">
      <c r="A294" t="str">
        <f>+_xlfn.CONCAT(Info_Camas[[#This Row],[Bloque]],Info_Camas[[#This Row],[Lado]],Info_Camas[[#This Row],[Cama]])</f>
        <v>02A055</v>
      </c>
      <c r="B294" t="s">
        <v>739</v>
      </c>
      <c r="C294" t="s">
        <v>20</v>
      </c>
      <c r="D294" t="s">
        <v>15</v>
      </c>
      <c r="E294" t="s">
        <v>67</v>
      </c>
      <c r="F294" t="s">
        <v>173</v>
      </c>
      <c r="G294">
        <v>33.397500000000001</v>
      </c>
      <c r="H294" s="9">
        <v>10</v>
      </c>
      <c r="I294" s="9">
        <v>219</v>
      </c>
      <c r="J294" s="6">
        <f>IFERROR(Info_Camas[[#This Row],[Lineas]]/Info_Camas[[#This Row],[Cortinas]],"Pendiente")</f>
        <v>21.9</v>
      </c>
    </row>
    <row r="295" spans="1:10" hidden="1" x14ac:dyDescent="0.25">
      <c r="A295" t="str">
        <f>+_xlfn.CONCAT(Info_Camas[[#This Row],[Bloque]],Info_Camas[[#This Row],[Lado]],Info_Camas[[#This Row],[Cama]])</f>
        <v>02B055</v>
      </c>
      <c r="B295" t="s">
        <v>739</v>
      </c>
      <c r="C295" t="s">
        <v>20</v>
      </c>
      <c r="D295" t="s">
        <v>21</v>
      </c>
      <c r="E295" t="s">
        <v>67</v>
      </c>
      <c r="F295" t="s">
        <v>173</v>
      </c>
      <c r="G295">
        <v>59.063000000000002</v>
      </c>
      <c r="H295" s="9">
        <v>10</v>
      </c>
      <c r="I295" s="9">
        <v>206</v>
      </c>
      <c r="J295" s="6">
        <f>IFERROR(Info_Camas[[#This Row],[Lineas]]/Info_Camas[[#This Row],[Cortinas]],"Pendiente")</f>
        <v>20.6</v>
      </c>
    </row>
    <row r="296" spans="1:10" hidden="1" x14ac:dyDescent="0.25">
      <c r="A296" t="str">
        <f>+_xlfn.CONCAT(Info_Camas[[#This Row],[Bloque]],Info_Camas[[#This Row],[Lado]],Info_Camas[[#This Row],[Cama]])</f>
        <v>02A056</v>
      </c>
      <c r="B296" t="s">
        <v>739</v>
      </c>
      <c r="C296" t="s">
        <v>20</v>
      </c>
      <c r="D296" t="s">
        <v>15</v>
      </c>
      <c r="E296" t="s">
        <v>67</v>
      </c>
      <c r="F296" t="s">
        <v>175</v>
      </c>
      <c r="G296">
        <v>59.063000000000002</v>
      </c>
      <c r="H296" s="9">
        <v>10</v>
      </c>
      <c r="I296" s="9">
        <v>216</v>
      </c>
      <c r="J296" s="6">
        <f>IFERROR(Info_Camas[[#This Row],[Lineas]]/Info_Camas[[#This Row],[Cortinas]],"Pendiente")</f>
        <v>21.6</v>
      </c>
    </row>
    <row r="297" spans="1:10" hidden="1" x14ac:dyDescent="0.25">
      <c r="A297" t="str">
        <f>+_xlfn.CONCAT(Info_Camas[[#This Row],[Bloque]],Info_Camas[[#This Row],[Lado]],Info_Camas[[#This Row],[Cama]])</f>
        <v>02B056</v>
      </c>
      <c r="B297" t="s">
        <v>739</v>
      </c>
      <c r="C297" t="s">
        <v>20</v>
      </c>
      <c r="D297" t="s">
        <v>21</v>
      </c>
      <c r="E297" t="s">
        <v>67</v>
      </c>
      <c r="F297" t="s">
        <v>175</v>
      </c>
      <c r="G297">
        <v>59.063000000000002</v>
      </c>
      <c r="H297" s="9">
        <v>10</v>
      </c>
      <c r="I297" s="9">
        <v>207</v>
      </c>
      <c r="J297" s="6">
        <f>IFERROR(Info_Camas[[#This Row],[Lineas]]/Info_Camas[[#This Row],[Cortinas]],"Pendiente")</f>
        <v>20.7</v>
      </c>
    </row>
    <row r="298" spans="1:10" hidden="1" x14ac:dyDescent="0.25">
      <c r="A298" t="str">
        <f>+_xlfn.CONCAT(Info_Camas[[#This Row],[Bloque]],Info_Camas[[#This Row],[Lado]],Info_Camas[[#This Row],[Cama]])</f>
        <v>02A057</v>
      </c>
      <c r="B298" t="s">
        <v>739</v>
      </c>
      <c r="C298" t="s">
        <v>20</v>
      </c>
      <c r="D298" t="s">
        <v>15</v>
      </c>
      <c r="E298" t="s">
        <v>71</v>
      </c>
      <c r="F298" t="s">
        <v>177</v>
      </c>
      <c r="G298">
        <v>59.063000000000002</v>
      </c>
      <c r="H298" s="9">
        <v>10</v>
      </c>
      <c r="I298" s="9">
        <v>217</v>
      </c>
      <c r="J298" s="6">
        <f>IFERROR(Info_Camas[[#This Row],[Lineas]]/Info_Camas[[#This Row],[Cortinas]],"Pendiente")</f>
        <v>21.7</v>
      </c>
    </row>
    <row r="299" spans="1:10" hidden="1" x14ac:dyDescent="0.25">
      <c r="A299" t="str">
        <f>+_xlfn.CONCAT(Info_Camas[[#This Row],[Bloque]],Info_Camas[[#This Row],[Lado]],Info_Camas[[#This Row],[Cama]])</f>
        <v>02B057</v>
      </c>
      <c r="B299" t="s">
        <v>739</v>
      </c>
      <c r="C299" t="s">
        <v>20</v>
      </c>
      <c r="D299" t="s">
        <v>21</v>
      </c>
      <c r="E299" t="s">
        <v>71</v>
      </c>
      <c r="F299" t="s">
        <v>177</v>
      </c>
      <c r="G299">
        <v>59.063000000000002</v>
      </c>
      <c r="H299" s="9">
        <v>10</v>
      </c>
      <c r="I299" s="9">
        <v>212</v>
      </c>
      <c r="J299" s="6">
        <f>IFERROR(Info_Camas[[#This Row],[Lineas]]/Info_Camas[[#This Row],[Cortinas]],"Pendiente")</f>
        <v>21.2</v>
      </c>
    </row>
    <row r="300" spans="1:10" hidden="1" x14ac:dyDescent="0.25">
      <c r="A300" t="str">
        <f>+_xlfn.CONCAT(Info_Camas[[#This Row],[Bloque]],Info_Camas[[#This Row],[Lado]],Info_Camas[[#This Row],[Cama]])</f>
        <v>02A058</v>
      </c>
      <c r="B300" t="s">
        <v>739</v>
      </c>
      <c r="C300" t="s">
        <v>20</v>
      </c>
      <c r="D300" t="s">
        <v>15</v>
      </c>
      <c r="E300" t="s">
        <v>71</v>
      </c>
      <c r="F300" t="s">
        <v>179</v>
      </c>
      <c r="G300">
        <v>59.063000000000002</v>
      </c>
      <c r="H300" s="9">
        <v>10</v>
      </c>
      <c r="I300" s="9">
        <v>217</v>
      </c>
      <c r="J300" s="6">
        <f>IFERROR(Info_Camas[[#This Row],[Lineas]]/Info_Camas[[#This Row],[Cortinas]],"Pendiente")</f>
        <v>21.7</v>
      </c>
    </row>
    <row r="301" spans="1:10" hidden="1" x14ac:dyDescent="0.25">
      <c r="A301" t="str">
        <f>+_xlfn.CONCAT(Info_Camas[[#This Row],[Bloque]],Info_Camas[[#This Row],[Lado]],Info_Camas[[#This Row],[Cama]])</f>
        <v>02B058</v>
      </c>
      <c r="B301" t="s">
        <v>739</v>
      </c>
      <c r="C301" t="s">
        <v>20</v>
      </c>
      <c r="D301" t="s">
        <v>21</v>
      </c>
      <c r="E301" t="s">
        <v>71</v>
      </c>
      <c r="F301" t="s">
        <v>179</v>
      </c>
      <c r="G301">
        <v>59.063000000000002</v>
      </c>
      <c r="H301" s="9">
        <v>10</v>
      </c>
      <c r="I301" s="9">
        <v>213</v>
      </c>
      <c r="J301" s="6">
        <f>IFERROR(Info_Camas[[#This Row],[Lineas]]/Info_Camas[[#This Row],[Cortinas]],"Pendiente")</f>
        <v>21.3</v>
      </c>
    </row>
    <row r="302" spans="1:10" hidden="1" x14ac:dyDescent="0.25">
      <c r="A302" t="str">
        <f>+_xlfn.CONCAT(Info_Camas[[#This Row],[Bloque]],Info_Camas[[#This Row],[Lado]],Info_Camas[[#This Row],[Cama]])</f>
        <v>02A059</v>
      </c>
      <c r="B302" t="s">
        <v>739</v>
      </c>
      <c r="C302" t="s">
        <v>20</v>
      </c>
      <c r="D302" t="s">
        <v>15</v>
      </c>
      <c r="E302" t="s">
        <v>71</v>
      </c>
      <c r="F302" t="s">
        <v>182</v>
      </c>
      <c r="G302">
        <v>59.063000000000002</v>
      </c>
      <c r="H302" s="9">
        <v>10</v>
      </c>
      <c r="I302" s="9">
        <v>217</v>
      </c>
      <c r="J302" s="6">
        <f>IFERROR(Info_Camas[[#This Row],[Lineas]]/Info_Camas[[#This Row],[Cortinas]],"Pendiente")</f>
        <v>21.7</v>
      </c>
    </row>
    <row r="303" spans="1:10" hidden="1" x14ac:dyDescent="0.25">
      <c r="A303" t="str">
        <f>+_xlfn.CONCAT(Info_Camas[[#This Row],[Bloque]],Info_Camas[[#This Row],[Lado]],Info_Camas[[#This Row],[Cama]])</f>
        <v>02B059</v>
      </c>
      <c r="B303" t="s">
        <v>739</v>
      </c>
      <c r="C303" t="s">
        <v>20</v>
      </c>
      <c r="D303" t="s">
        <v>21</v>
      </c>
      <c r="E303" t="s">
        <v>71</v>
      </c>
      <c r="F303" t="s">
        <v>182</v>
      </c>
      <c r="G303">
        <v>41.346400000000003</v>
      </c>
      <c r="H303" s="9">
        <v>10</v>
      </c>
      <c r="I303" s="9">
        <v>211</v>
      </c>
      <c r="J303" s="6">
        <f>IFERROR(Info_Camas[[#This Row],[Lineas]]/Info_Camas[[#This Row],[Cortinas]],"Pendiente")</f>
        <v>21.1</v>
      </c>
    </row>
    <row r="304" spans="1:10" hidden="1" x14ac:dyDescent="0.25">
      <c r="A304" t="str">
        <f>+_xlfn.CONCAT(Info_Camas[[#This Row],[Bloque]],Info_Camas[[#This Row],[Lado]],Info_Camas[[#This Row],[Cama]])</f>
        <v>02A060</v>
      </c>
      <c r="B304" t="s">
        <v>739</v>
      </c>
      <c r="C304" t="s">
        <v>20</v>
      </c>
      <c r="D304" t="s">
        <v>15</v>
      </c>
      <c r="E304" t="s">
        <v>71</v>
      </c>
      <c r="F304" t="s">
        <v>184</v>
      </c>
      <c r="G304">
        <v>59.063000000000002</v>
      </c>
      <c r="H304" s="9">
        <v>10</v>
      </c>
      <c r="I304" s="9">
        <v>217</v>
      </c>
      <c r="J304" s="6">
        <f>IFERROR(Info_Camas[[#This Row],[Lineas]]/Info_Camas[[#This Row],[Cortinas]],"Pendiente")</f>
        <v>21.7</v>
      </c>
    </row>
    <row r="305" spans="1:10" hidden="1" x14ac:dyDescent="0.25">
      <c r="A305" t="str">
        <f>+_xlfn.CONCAT(Info_Camas[[#This Row],[Bloque]],Info_Camas[[#This Row],[Lado]],Info_Camas[[#This Row],[Cama]])</f>
        <v>02B060</v>
      </c>
      <c r="B305" t="s">
        <v>739</v>
      </c>
      <c r="C305" t="s">
        <v>20</v>
      </c>
      <c r="D305" t="s">
        <v>21</v>
      </c>
      <c r="E305" t="s">
        <v>71</v>
      </c>
      <c r="F305" t="s">
        <v>184</v>
      </c>
      <c r="G305">
        <v>59.063000000000002</v>
      </c>
      <c r="H305" s="9">
        <v>10</v>
      </c>
      <c r="I305" s="9">
        <v>213</v>
      </c>
      <c r="J305" s="6">
        <f>IFERROR(Info_Camas[[#This Row],[Lineas]]/Info_Camas[[#This Row],[Cortinas]],"Pendiente")</f>
        <v>21.3</v>
      </c>
    </row>
    <row r="306" spans="1:10" hidden="1" x14ac:dyDescent="0.25">
      <c r="A306" t="str">
        <f>+_xlfn.CONCAT(Info_Camas[[#This Row],[Bloque]],Info_Camas[[#This Row],[Lado]],Info_Camas[[#This Row],[Cama]])</f>
        <v>02A061</v>
      </c>
      <c r="B306" t="s">
        <v>739</v>
      </c>
      <c r="C306" t="s">
        <v>20</v>
      </c>
      <c r="D306" t="s">
        <v>15</v>
      </c>
      <c r="E306" t="s">
        <v>74</v>
      </c>
      <c r="F306" t="s">
        <v>186</v>
      </c>
      <c r="G306">
        <v>59.063000000000002</v>
      </c>
      <c r="H306" s="9">
        <v>10</v>
      </c>
      <c r="I306" s="9">
        <v>216</v>
      </c>
      <c r="J306" s="6">
        <f>IFERROR(Info_Camas[[#This Row],[Lineas]]/Info_Camas[[#This Row],[Cortinas]],"Pendiente")</f>
        <v>21.6</v>
      </c>
    </row>
    <row r="307" spans="1:10" hidden="1" x14ac:dyDescent="0.25">
      <c r="A307" t="str">
        <f>+_xlfn.CONCAT(Info_Camas[[#This Row],[Bloque]],Info_Camas[[#This Row],[Lado]],Info_Camas[[#This Row],[Cama]])</f>
        <v>02B061</v>
      </c>
      <c r="B307" t="s">
        <v>739</v>
      </c>
      <c r="C307" t="s">
        <v>20</v>
      </c>
      <c r="D307" t="s">
        <v>21</v>
      </c>
      <c r="E307" t="s">
        <v>74</v>
      </c>
      <c r="F307" t="s">
        <v>186</v>
      </c>
      <c r="G307">
        <v>59.063000000000002</v>
      </c>
      <c r="H307" s="9">
        <v>10</v>
      </c>
      <c r="I307" s="9">
        <v>214</v>
      </c>
      <c r="J307" s="6">
        <f>IFERROR(Info_Camas[[#This Row],[Lineas]]/Info_Camas[[#This Row],[Cortinas]],"Pendiente")</f>
        <v>21.4</v>
      </c>
    </row>
    <row r="308" spans="1:10" hidden="1" x14ac:dyDescent="0.25">
      <c r="A308" t="str">
        <f>+_xlfn.CONCAT(Info_Camas[[#This Row],[Bloque]],Info_Camas[[#This Row],[Lado]],Info_Camas[[#This Row],[Cama]])</f>
        <v>02A062</v>
      </c>
      <c r="B308" t="s">
        <v>739</v>
      </c>
      <c r="C308" t="s">
        <v>20</v>
      </c>
      <c r="D308" t="s">
        <v>15</v>
      </c>
      <c r="E308" t="s">
        <v>74</v>
      </c>
      <c r="F308" t="s">
        <v>188</v>
      </c>
      <c r="G308">
        <v>59.063000000000002</v>
      </c>
      <c r="H308" s="9">
        <v>10</v>
      </c>
      <c r="I308" s="9">
        <v>216</v>
      </c>
      <c r="J308" s="6">
        <f>IFERROR(Info_Camas[[#This Row],[Lineas]]/Info_Camas[[#This Row],[Cortinas]],"Pendiente")</f>
        <v>21.6</v>
      </c>
    </row>
    <row r="309" spans="1:10" hidden="1" x14ac:dyDescent="0.25">
      <c r="A309" t="str">
        <f>+_xlfn.CONCAT(Info_Camas[[#This Row],[Bloque]],Info_Camas[[#This Row],[Lado]],Info_Camas[[#This Row],[Cama]])</f>
        <v>02B062</v>
      </c>
      <c r="B309" t="s">
        <v>739</v>
      </c>
      <c r="C309" t="s">
        <v>20</v>
      </c>
      <c r="D309" t="s">
        <v>21</v>
      </c>
      <c r="E309" t="s">
        <v>74</v>
      </c>
      <c r="F309" t="s">
        <v>188</v>
      </c>
      <c r="G309">
        <v>59.063000000000002</v>
      </c>
      <c r="H309" s="9">
        <v>10</v>
      </c>
      <c r="I309" s="9">
        <v>212</v>
      </c>
      <c r="J309" s="6">
        <f>IFERROR(Info_Camas[[#This Row],[Lineas]]/Info_Camas[[#This Row],[Cortinas]],"Pendiente")</f>
        <v>21.2</v>
      </c>
    </row>
    <row r="310" spans="1:10" hidden="1" x14ac:dyDescent="0.25">
      <c r="A310" t="str">
        <f>+_xlfn.CONCAT(Info_Camas[[#This Row],[Bloque]],Info_Camas[[#This Row],[Lado]],Info_Camas[[#This Row],[Cama]])</f>
        <v>02A063</v>
      </c>
      <c r="B310" t="s">
        <v>739</v>
      </c>
      <c r="C310" t="s">
        <v>20</v>
      </c>
      <c r="D310" t="s">
        <v>15</v>
      </c>
      <c r="E310" t="s">
        <v>74</v>
      </c>
      <c r="F310" t="s">
        <v>190</v>
      </c>
      <c r="G310">
        <v>59.063000000000002</v>
      </c>
      <c r="H310" s="9">
        <v>10</v>
      </c>
      <c r="I310" s="9">
        <v>216</v>
      </c>
      <c r="J310" s="6">
        <f>IFERROR(Info_Camas[[#This Row],[Lineas]]/Info_Camas[[#This Row],[Cortinas]],"Pendiente")</f>
        <v>21.6</v>
      </c>
    </row>
    <row r="311" spans="1:10" hidden="1" x14ac:dyDescent="0.25">
      <c r="A311" t="str">
        <f>+_xlfn.CONCAT(Info_Camas[[#This Row],[Bloque]],Info_Camas[[#This Row],[Lado]],Info_Camas[[#This Row],[Cama]])</f>
        <v>02B063</v>
      </c>
      <c r="B311" t="s">
        <v>739</v>
      </c>
      <c r="C311" t="s">
        <v>20</v>
      </c>
      <c r="D311" t="s">
        <v>21</v>
      </c>
      <c r="E311" t="s">
        <v>74</v>
      </c>
      <c r="F311" t="s">
        <v>190</v>
      </c>
      <c r="G311">
        <v>59.063000000000002</v>
      </c>
      <c r="H311" s="9">
        <v>10</v>
      </c>
      <c r="I311" s="9">
        <v>214</v>
      </c>
      <c r="J311" s="6">
        <f>IFERROR(Info_Camas[[#This Row],[Lineas]]/Info_Camas[[#This Row],[Cortinas]],"Pendiente")</f>
        <v>21.4</v>
      </c>
    </row>
    <row r="312" spans="1:10" hidden="1" x14ac:dyDescent="0.25">
      <c r="A312" t="str">
        <f>+_xlfn.CONCAT(Info_Camas[[#This Row],[Bloque]],Info_Camas[[#This Row],[Lado]],Info_Camas[[#This Row],[Cama]])</f>
        <v>02A064</v>
      </c>
      <c r="B312" t="s">
        <v>739</v>
      </c>
      <c r="C312" t="s">
        <v>20</v>
      </c>
      <c r="D312" t="s">
        <v>15</v>
      </c>
      <c r="E312" t="s">
        <v>74</v>
      </c>
      <c r="F312" t="s">
        <v>192</v>
      </c>
      <c r="G312">
        <v>51.680100000000003</v>
      </c>
      <c r="H312" s="9">
        <v>10</v>
      </c>
      <c r="I312" s="9">
        <v>215</v>
      </c>
      <c r="J312" s="6">
        <f>IFERROR(Info_Camas[[#This Row],[Lineas]]/Info_Camas[[#This Row],[Cortinas]],"Pendiente")</f>
        <v>21.5</v>
      </c>
    </row>
    <row r="313" spans="1:10" hidden="1" x14ac:dyDescent="0.25">
      <c r="A313" t="str">
        <f>+_xlfn.CONCAT(Info_Camas[[#This Row],[Bloque]],Info_Camas[[#This Row],[Lado]],Info_Camas[[#This Row],[Cama]])</f>
        <v>02B064</v>
      </c>
      <c r="B313" t="s">
        <v>739</v>
      </c>
      <c r="C313" t="s">
        <v>20</v>
      </c>
      <c r="D313" t="s">
        <v>21</v>
      </c>
      <c r="E313" t="s">
        <v>74</v>
      </c>
      <c r="F313" t="s">
        <v>192</v>
      </c>
      <c r="G313">
        <v>59.063000000000002</v>
      </c>
      <c r="H313" s="9">
        <v>10</v>
      </c>
      <c r="I313" s="9">
        <v>213</v>
      </c>
      <c r="J313" s="6">
        <f>IFERROR(Info_Camas[[#This Row],[Lineas]]/Info_Camas[[#This Row],[Cortinas]],"Pendiente")</f>
        <v>21.3</v>
      </c>
    </row>
    <row r="314" spans="1:10" hidden="1" x14ac:dyDescent="0.25">
      <c r="A314" t="str">
        <f>+_xlfn.CONCAT(Info_Camas[[#This Row],[Bloque]],Info_Camas[[#This Row],[Lado]],Info_Camas[[#This Row],[Cama]])</f>
        <v>02A065</v>
      </c>
      <c r="B314" t="s">
        <v>739</v>
      </c>
      <c r="C314" t="s">
        <v>20</v>
      </c>
      <c r="D314" t="s">
        <v>15</v>
      </c>
      <c r="E314" t="s">
        <v>77</v>
      </c>
      <c r="F314" t="s">
        <v>194</v>
      </c>
      <c r="G314">
        <v>59.063000000000002</v>
      </c>
      <c r="H314" s="9">
        <v>10</v>
      </c>
      <c r="I314" s="9">
        <v>220</v>
      </c>
      <c r="J314" s="6">
        <f>IFERROR(Info_Camas[[#This Row],[Lineas]]/Info_Camas[[#This Row],[Cortinas]],"Pendiente")</f>
        <v>22</v>
      </c>
    </row>
    <row r="315" spans="1:10" hidden="1" x14ac:dyDescent="0.25">
      <c r="A315" t="str">
        <f>+_xlfn.CONCAT(Info_Camas[[#This Row],[Bloque]],Info_Camas[[#This Row],[Lado]],Info_Camas[[#This Row],[Cama]])</f>
        <v>02B065</v>
      </c>
      <c r="B315" t="s">
        <v>739</v>
      </c>
      <c r="C315" t="s">
        <v>20</v>
      </c>
      <c r="D315" t="s">
        <v>21</v>
      </c>
      <c r="E315" t="s">
        <v>77</v>
      </c>
      <c r="F315" t="s">
        <v>194</v>
      </c>
      <c r="G315">
        <v>59.063000000000002</v>
      </c>
      <c r="H315" s="9">
        <v>10</v>
      </c>
      <c r="I315" s="9">
        <v>200</v>
      </c>
      <c r="J315" s="6">
        <f>IFERROR(Info_Camas[[#This Row],[Lineas]]/Info_Camas[[#This Row],[Cortinas]],"Pendiente")</f>
        <v>20</v>
      </c>
    </row>
    <row r="316" spans="1:10" hidden="1" x14ac:dyDescent="0.25">
      <c r="A316" t="str">
        <f>+_xlfn.CONCAT(Info_Camas[[#This Row],[Bloque]],Info_Camas[[#This Row],[Lado]],Info_Camas[[#This Row],[Cama]])</f>
        <v>02A066</v>
      </c>
      <c r="B316" t="s">
        <v>739</v>
      </c>
      <c r="C316" t="s">
        <v>20</v>
      </c>
      <c r="D316" t="s">
        <v>15</v>
      </c>
      <c r="E316" t="s">
        <v>77</v>
      </c>
      <c r="F316" t="s">
        <v>196</v>
      </c>
      <c r="G316">
        <v>59.063000000000002</v>
      </c>
      <c r="H316" s="9">
        <v>10</v>
      </c>
      <c r="I316" s="9">
        <v>220</v>
      </c>
      <c r="J316" s="6">
        <f>IFERROR(Info_Camas[[#This Row],[Lineas]]/Info_Camas[[#This Row],[Cortinas]],"Pendiente")</f>
        <v>22</v>
      </c>
    </row>
    <row r="317" spans="1:10" hidden="1" x14ac:dyDescent="0.25">
      <c r="A317" t="str">
        <f>+_xlfn.CONCAT(Info_Camas[[#This Row],[Bloque]],Info_Camas[[#This Row],[Lado]],Info_Camas[[#This Row],[Cama]])</f>
        <v>02B066</v>
      </c>
      <c r="B317" t="s">
        <v>739</v>
      </c>
      <c r="C317" t="s">
        <v>20</v>
      </c>
      <c r="D317" t="s">
        <v>21</v>
      </c>
      <c r="E317" t="s">
        <v>77</v>
      </c>
      <c r="F317" t="s">
        <v>196</v>
      </c>
      <c r="G317">
        <v>59.063000000000002</v>
      </c>
      <c r="H317" s="9">
        <v>10</v>
      </c>
      <c r="I317" s="9">
        <v>200</v>
      </c>
      <c r="J317" s="6">
        <f>IFERROR(Info_Camas[[#This Row],[Lineas]]/Info_Camas[[#This Row],[Cortinas]],"Pendiente")</f>
        <v>20</v>
      </c>
    </row>
    <row r="318" spans="1:10" hidden="1" x14ac:dyDescent="0.25">
      <c r="A318" t="str">
        <f>+_xlfn.CONCAT(Info_Camas[[#This Row],[Bloque]],Info_Camas[[#This Row],[Lado]],Info_Camas[[#This Row],[Cama]])</f>
        <v>02A067</v>
      </c>
      <c r="B318" t="s">
        <v>739</v>
      </c>
      <c r="C318" t="s">
        <v>20</v>
      </c>
      <c r="D318" t="s">
        <v>15</v>
      </c>
      <c r="E318" t="s">
        <v>77</v>
      </c>
      <c r="F318" t="s">
        <v>198</v>
      </c>
      <c r="G318">
        <v>59.063000000000002</v>
      </c>
      <c r="H318" s="9">
        <v>10</v>
      </c>
      <c r="I318" s="9">
        <v>220</v>
      </c>
      <c r="J318" s="6">
        <f>IFERROR(Info_Camas[[#This Row],[Lineas]]/Info_Camas[[#This Row],[Cortinas]],"Pendiente")</f>
        <v>22</v>
      </c>
    </row>
    <row r="319" spans="1:10" hidden="1" x14ac:dyDescent="0.25">
      <c r="A319" t="str">
        <f>+_xlfn.CONCAT(Info_Camas[[#This Row],[Bloque]],Info_Camas[[#This Row],[Lado]],Info_Camas[[#This Row],[Cama]])</f>
        <v>02B067</v>
      </c>
      <c r="B319" t="s">
        <v>739</v>
      </c>
      <c r="C319" t="s">
        <v>20</v>
      </c>
      <c r="D319" t="s">
        <v>21</v>
      </c>
      <c r="E319" t="s">
        <v>77</v>
      </c>
      <c r="F319" t="s">
        <v>198</v>
      </c>
      <c r="G319">
        <v>59.063000000000002</v>
      </c>
      <c r="H319" s="9">
        <v>10</v>
      </c>
      <c r="I319" s="9">
        <v>200</v>
      </c>
      <c r="J319" s="6">
        <f>IFERROR(Info_Camas[[#This Row],[Lineas]]/Info_Camas[[#This Row],[Cortinas]],"Pendiente")</f>
        <v>20</v>
      </c>
    </row>
    <row r="320" spans="1:10" hidden="1" x14ac:dyDescent="0.25">
      <c r="A320" t="str">
        <f>+_xlfn.CONCAT(Info_Camas[[#This Row],[Bloque]],Info_Camas[[#This Row],[Lado]],Info_Camas[[#This Row],[Cama]])</f>
        <v>02A068</v>
      </c>
      <c r="B320" t="s">
        <v>739</v>
      </c>
      <c r="C320" t="s">
        <v>20</v>
      </c>
      <c r="D320" t="s">
        <v>15</v>
      </c>
      <c r="E320" t="s">
        <v>77</v>
      </c>
      <c r="F320" t="s">
        <v>200</v>
      </c>
      <c r="G320">
        <v>5.9062999999999999</v>
      </c>
      <c r="H320" s="9">
        <v>10</v>
      </c>
      <c r="I320" s="9">
        <v>220</v>
      </c>
      <c r="J320" s="6">
        <f>IFERROR(Info_Camas[[#This Row],[Lineas]]/Info_Camas[[#This Row],[Cortinas]],"Pendiente")</f>
        <v>22</v>
      </c>
    </row>
    <row r="321" spans="1:10" hidden="1" x14ac:dyDescent="0.25">
      <c r="A321" t="str">
        <f>+_xlfn.CONCAT(Info_Camas[[#This Row],[Bloque]],Info_Camas[[#This Row],[Lado]],Info_Camas[[#This Row],[Cama]])</f>
        <v>02B068</v>
      </c>
      <c r="B321" t="s">
        <v>739</v>
      </c>
      <c r="C321" t="s">
        <v>20</v>
      </c>
      <c r="D321" t="s">
        <v>21</v>
      </c>
      <c r="E321" t="s">
        <v>77</v>
      </c>
      <c r="F321" t="s">
        <v>200</v>
      </c>
      <c r="G321">
        <v>59.063000000000002</v>
      </c>
      <c r="H321" s="9">
        <v>10</v>
      </c>
      <c r="I321" s="9">
        <v>200</v>
      </c>
      <c r="J321" s="6">
        <f>IFERROR(Info_Camas[[#This Row],[Lineas]]/Info_Camas[[#This Row],[Cortinas]],"Pendiente")</f>
        <v>20</v>
      </c>
    </row>
    <row r="322" spans="1:10" hidden="1" x14ac:dyDescent="0.25">
      <c r="A322" t="str">
        <f>+_xlfn.CONCAT(Info_Camas[[#This Row],[Bloque]],Info_Camas[[#This Row],[Lado]],Info_Camas[[#This Row],[Cama]])</f>
        <v>02A069</v>
      </c>
      <c r="B322" t="s">
        <v>739</v>
      </c>
      <c r="C322" t="s">
        <v>20</v>
      </c>
      <c r="D322" t="s">
        <v>15</v>
      </c>
      <c r="E322" t="s">
        <v>80</v>
      </c>
      <c r="F322" t="s">
        <v>202</v>
      </c>
      <c r="G322">
        <v>59.063000000000002</v>
      </c>
      <c r="H322" s="9">
        <v>10</v>
      </c>
      <c r="I322" s="9">
        <v>220</v>
      </c>
      <c r="J322" s="6">
        <f>IFERROR(Info_Camas[[#This Row],[Lineas]]/Info_Camas[[#This Row],[Cortinas]],"Pendiente")</f>
        <v>22</v>
      </c>
    </row>
    <row r="323" spans="1:10" hidden="1" x14ac:dyDescent="0.25">
      <c r="A323" t="str">
        <f>+_xlfn.CONCAT(Info_Camas[[#This Row],[Bloque]],Info_Camas[[#This Row],[Lado]],Info_Camas[[#This Row],[Cama]])</f>
        <v>02B069</v>
      </c>
      <c r="B323" t="s">
        <v>739</v>
      </c>
      <c r="C323" t="s">
        <v>20</v>
      </c>
      <c r="D323" t="s">
        <v>21</v>
      </c>
      <c r="E323" t="s">
        <v>80</v>
      </c>
      <c r="F323" t="s">
        <v>202</v>
      </c>
      <c r="G323">
        <v>59.063000000000002</v>
      </c>
      <c r="H323" s="9">
        <v>10</v>
      </c>
      <c r="I323" s="9">
        <v>210</v>
      </c>
      <c r="J323" s="6">
        <f>IFERROR(Info_Camas[[#This Row],[Lineas]]/Info_Camas[[#This Row],[Cortinas]],"Pendiente")</f>
        <v>21</v>
      </c>
    </row>
    <row r="324" spans="1:10" hidden="1" x14ac:dyDescent="0.25">
      <c r="A324" t="str">
        <f>+_xlfn.CONCAT(Info_Camas[[#This Row],[Bloque]],Info_Camas[[#This Row],[Lado]],Info_Camas[[#This Row],[Cama]])</f>
        <v>02A070</v>
      </c>
      <c r="B324" t="s">
        <v>739</v>
      </c>
      <c r="C324" t="s">
        <v>20</v>
      </c>
      <c r="D324" t="s">
        <v>15</v>
      </c>
      <c r="E324" t="s">
        <v>80</v>
      </c>
      <c r="F324" t="s">
        <v>204</v>
      </c>
      <c r="G324">
        <v>59.063000000000002</v>
      </c>
      <c r="H324" s="9">
        <v>10</v>
      </c>
      <c r="I324" s="9">
        <v>220</v>
      </c>
      <c r="J324" s="6">
        <f>IFERROR(Info_Camas[[#This Row],[Lineas]]/Info_Camas[[#This Row],[Cortinas]],"Pendiente")</f>
        <v>22</v>
      </c>
    </row>
    <row r="325" spans="1:10" hidden="1" x14ac:dyDescent="0.25">
      <c r="A325" t="str">
        <f>+_xlfn.CONCAT(Info_Camas[[#This Row],[Bloque]],Info_Camas[[#This Row],[Lado]],Info_Camas[[#This Row],[Cama]])</f>
        <v>02B070</v>
      </c>
      <c r="B325" t="s">
        <v>739</v>
      </c>
      <c r="C325" t="s">
        <v>20</v>
      </c>
      <c r="D325" t="s">
        <v>21</v>
      </c>
      <c r="E325" t="s">
        <v>80</v>
      </c>
      <c r="F325" t="s">
        <v>204</v>
      </c>
      <c r="G325">
        <v>59.063000000000002</v>
      </c>
      <c r="H325" s="9">
        <v>10</v>
      </c>
      <c r="I325" s="9">
        <v>212</v>
      </c>
      <c r="J325" s="6">
        <f>IFERROR(Info_Camas[[#This Row],[Lineas]]/Info_Camas[[#This Row],[Cortinas]],"Pendiente")</f>
        <v>21.2</v>
      </c>
    </row>
    <row r="326" spans="1:10" hidden="1" x14ac:dyDescent="0.25">
      <c r="A326" t="str">
        <f>+_xlfn.CONCAT(Info_Camas[[#This Row],[Bloque]],Info_Camas[[#This Row],[Lado]],Info_Camas[[#This Row],[Cama]])</f>
        <v>02A071</v>
      </c>
      <c r="B326" t="s">
        <v>739</v>
      </c>
      <c r="C326" t="s">
        <v>20</v>
      </c>
      <c r="D326" t="s">
        <v>15</v>
      </c>
      <c r="E326" t="s">
        <v>80</v>
      </c>
      <c r="F326" t="s">
        <v>206</v>
      </c>
      <c r="G326">
        <v>29.531500000000001</v>
      </c>
      <c r="H326" s="9">
        <v>10</v>
      </c>
      <c r="I326" s="9">
        <v>218</v>
      </c>
      <c r="J326" s="6">
        <f>IFERROR(Info_Camas[[#This Row],[Lineas]]/Info_Camas[[#This Row],[Cortinas]],"Pendiente")</f>
        <v>21.8</v>
      </c>
    </row>
    <row r="327" spans="1:10" hidden="1" x14ac:dyDescent="0.25">
      <c r="A327" t="str">
        <f>+_xlfn.CONCAT(Info_Camas[[#This Row],[Bloque]],Info_Camas[[#This Row],[Lado]],Info_Camas[[#This Row],[Cama]])</f>
        <v>02B071</v>
      </c>
      <c r="B327" t="s">
        <v>739</v>
      </c>
      <c r="C327" t="s">
        <v>20</v>
      </c>
      <c r="D327" t="s">
        <v>21</v>
      </c>
      <c r="E327" t="s">
        <v>80</v>
      </c>
      <c r="F327" t="s">
        <v>206</v>
      </c>
      <c r="G327">
        <v>59.063000000000002</v>
      </c>
      <c r="H327" s="9">
        <v>10</v>
      </c>
      <c r="I327" s="9">
        <v>214</v>
      </c>
      <c r="J327" s="6">
        <f>IFERROR(Info_Camas[[#This Row],[Lineas]]/Info_Camas[[#This Row],[Cortinas]],"Pendiente")</f>
        <v>21.4</v>
      </c>
    </row>
    <row r="328" spans="1:10" hidden="1" x14ac:dyDescent="0.25">
      <c r="A328" t="str">
        <f>+_xlfn.CONCAT(Info_Camas[[#This Row],[Bloque]],Info_Camas[[#This Row],[Lado]],Info_Camas[[#This Row],[Cama]])</f>
        <v>02A072</v>
      </c>
      <c r="B328" t="s">
        <v>739</v>
      </c>
      <c r="C328" t="s">
        <v>20</v>
      </c>
      <c r="D328" t="s">
        <v>15</v>
      </c>
      <c r="E328" t="s">
        <v>80</v>
      </c>
      <c r="F328" t="s">
        <v>208</v>
      </c>
      <c r="G328">
        <v>35.437800000000003</v>
      </c>
      <c r="H328" s="9">
        <v>10</v>
      </c>
      <c r="I328" s="9">
        <v>220</v>
      </c>
      <c r="J328" s="6">
        <f>IFERROR(Info_Camas[[#This Row],[Lineas]]/Info_Camas[[#This Row],[Cortinas]],"Pendiente")</f>
        <v>22</v>
      </c>
    </row>
    <row r="329" spans="1:10" hidden="1" x14ac:dyDescent="0.25">
      <c r="A329" t="str">
        <f>+_xlfn.CONCAT(Info_Camas[[#This Row],[Bloque]],Info_Camas[[#This Row],[Lado]],Info_Camas[[#This Row],[Cama]])</f>
        <v>02B072</v>
      </c>
      <c r="B329" t="s">
        <v>739</v>
      </c>
      <c r="C329" t="s">
        <v>20</v>
      </c>
      <c r="D329" t="s">
        <v>21</v>
      </c>
      <c r="E329" t="s">
        <v>80</v>
      </c>
      <c r="F329" t="s">
        <v>208</v>
      </c>
      <c r="G329">
        <v>59.063000000000002</v>
      </c>
      <c r="H329" s="9">
        <v>10</v>
      </c>
      <c r="I329" s="9">
        <v>212</v>
      </c>
      <c r="J329" s="6">
        <f>IFERROR(Info_Camas[[#This Row],[Lineas]]/Info_Camas[[#This Row],[Cortinas]],"Pendiente")</f>
        <v>21.2</v>
      </c>
    </row>
    <row r="330" spans="1:10" hidden="1" x14ac:dyDescent="0.25">
      <c r="A330" t="str">
        <f>+_xlfn.CONCAT(Info_Camas[[#This Row],[Bloque]],Info_Camas[[#This Row],[Lado]],Info_Camas[[#This Row],[Cama]])</f>
        <v>02A073</v>
      </c>
      <c r="B330" t="s">
        <v>739</v>
      </c>
      <c r="C330" t="s">
        <v>20</v>
      </c>
      <c r="D330" t="s">
        <v>15</v>
      </c>
      <c r="E330" t="s">
        <v>83</v>
      </c>
      <c r="F330" t="s">
        <v>210</v>
      </c>
      <c r="G330">
        <v>59.063000000000002</v>
      </c>
      <c r="H330" s="9">
        <v>10</v>
      </c>
      <c r="I330" s="9">
        <v>219</v>
      </c>
      <c r="J330" s="6">
        <f>IFERROR(Info_Camas[[#This Row],[Lineas]]/Info_Camas[[#This Row],[Cortinas]],"Pendiente")</f>
        <v>21.9</v>
      </c>
    </row>
    <row r="331" spans="1:10" hidden="1" x14ac:dyDescent="0.25">
      <c r="A331" t="str">
        <f>+_xlfn.CONCAT(Info_Camas[[#This Row],[Bloque]],Info_Camas[[#This Row],[Lado]],Info_Camas[[#This Row],[Cama]])</f>
        <v>02B073</v>
      </c>
      <c r="B331" t="s">
        <v>739</v>
      </c>
      <c r="C331" t="s">
        <v>20</v>
      </c>
      <c r="D331" t="s">
        <v>21</v>
      </c>
      <c r="E331" t="s">
        <v>83</v>
      </c>
      <c r="F331" t="s">
        <v>210</v>
      </c>
      <c r="G331">
        <v>23.622900000000001</v>
      </c>
      <c r="H331" s="9">
        <v>10</v>
      </c>
      <c r="I331" s="9">
        <v>214</v>
      </c>
      <c r="J331" s="6">
        <f>IFERROR(Info_Camas[[#This Row],[Lineas]]/Info_Camas[[#This Row],[Cortinas]],"Pendiente")</f>
        <v>21.4</v>
      </c>
    </row>
    <row r="332" spans="1:10" hidden="1" x14ac:dyDescent="0.25">
      <c r="A332" t="str">
        <f>+_xlfn.CONCAT(Info_Camas[[#This Row],[Bloque]],Info_Camas[[#This Row],[Lado]],Info_Camas[[#This Row],[Cama]])</f>
        <v>02A074</v>
      </c>
      <c r="B332" t="s">
        <v>739</v>
      </c>
      <c r="C332" t="s">
        <v>20</v>
      </c>
      <c r="D332" t="s">
        <v>15</v>
      </c>
      <c r="E332" t="s">
        <v>83</v>
      </c>
      <c r="F332" t="s">
        <v>212</v>
      </c>
      <c r="G332">
        <v>59.063000000000002</v>
      </c>
      <c r="H332" s="9">
        <v>10</v>
      </c>
      <c r="I332" s="9">
        <v>220</v>
      </c>
      <c r="J332" s="6">
        <f>IFERROR(Info_Camas[[#This Row],[Lineas]]/Info_Camas[[#This Row],[Cortinas]],"Pendiente")</f>
        <v>22</v>
      </c>
    </row>
    <row r="333" spans="1:10" hidden="1" x14ac:dyDescent="0.25">
      <c r="A333" t="str">
        <f>+_xlfn.CONCAT(Info_Camas[[#This Row],[Bloque]],Info_Camas[[#This Row],[Lado]],Info_Camas[[#This Row],[Cama]])</f>
        <v>02B074</v>
      </c>
      <c r="B333" t="s">
        <v>739</v>
      </c>
      <c r="C333" t="s">
        <v>20</v>
      </c>
      <c r="D333" t="s">
        <v>21</v>
      </c>
      <c r="E333" t="s">
        <v>83</v>
      </c>
      <c r="F333" t="s">
        <v>212</v>
      </c>
      <c r="G333">
        <v>59.063000000000002</v>
      </c>
      <c r="H333" s="9">
        <v>10</v>
      </c>
      <c r="I333" s="9">
        <v>211</v>
      </c>
      <c r="J333" s="6">
        <f>IFERROR(Info_Camas[[#This Row],[Lineas]]/Info_Camas[[#This Row],[Cortinas]],"Pendiente")</f>
        <v>21.1</v>
      </c>
    </row>
    <row r="334" spans="1:10" hidden="1" x14ac:dyDescent="0.25">
      <c r="A334" t="str">
        <f>+_xlfn.CONCAT(Info_Camas[[#This Row],[Bloque]],Info_Camas[[#This Row],[Lado]],Info_Camas[[#This Row],[Cama]])</f>
        <v>02A075</v>
      </c>
      <c r="B334" t="s">
        <v>739</v>
      </c>
      <c r="C334" t="s">
        <v>20</v>
      </c>
      <c r="D334" t="s">
        <v>15</v>
      </c>
      <c r="E334" t="s">
        <v>83</v>
      </c>
      <c r="F334" t="s">
        <v>214</v>
      </c>
      <c r="G334">
        <v>59.063000000000002</v>
      </c>
      <c r="H334" s="9">
        <v>10</v>
      </c>
      <c r="I334" s="9">
        <v>217</v>
      </c>
      <c r="J334" s="6">
        <f>IFERROR(Info_Camas[[#This Row],[Lineas]]/Info_Camas[[#This Row],[Cortinas]],"Pendiente")</f>
        <v>21.7</v>
      </c>
    </row>
    <row r="335" spans="1:10" hidden="1" x14ac:dyDescent="0.25">
      <c r="A335" t="str">
        <f>+_xlfn.CONCAT(Info_Camas[[#This Row],[Bloque]],Info_Camas[[#This Row],[Lado]],Info_Camas[[#This Row],[Cama]])</f>
        <v>02B075</v>
      </c>
      <c r="B335" t="s">
        <v>739</v>
      </c>
      <c r="C335" t="s">
        <v>20</v>
      </c>
      <c r="D335" t="s">
        <v>21</v>
      </c>
      <c r="E335" t="s">
        <v>83</v>
      </c>
      <c r="F335" t="s">
        <v>214</v>
      </c>
      <c r="G335">
        <v>59.063000000000002</v>
      </c>
      <c r="H335" s="9">
        <v>10</v>
      </c>
      <c r="I335" s="9">
        <v>213</v>
      </c>
      <c r="J335" s="6">
        <f>IFERROR(Info_Camas[[#This Row],[Lineas]]/Info_Camas[[#This Row],[Cortinas]],"Pendiente")</f>
        <v>21.3</v>
      </c>
    </row>
    <row r="336" spans="1:10" hidden="1" x14ac:dyDescent="0.25">
      <c r="A336" t="str">
        <f>+_xlfn.CONCAT(Info_Camas[[#This Row],[Bloque]],Info_Camas[[#This Row],[Lado]],Info_Camas[[#This Row],[Cama]])</f>
        <v>02A076</v>
      </c>
      <c r="B336" t="s">
        <v>739</v>
      </c>
      <c r="C336" t="s">
        <v>20</v>
      </c>
      <c r="D336" t="s">
        <v>15</v>
      </c>
      <c r="E336" t="s">
        <v>83</v>
      </c>
      <c r="F336" t="s">
        <v>216</v>
      </c>
      <c r="G336">
        <v>59.063000000000002</v>
      </c>
      <c r="H336" s="9">
        <v>10</v>
      </c>
      <c r="I336" s="9">
        <v>216</v>
      </c>
      <c r="J336" s="6">
        <f>IFERROR(Info_Camas[[#This Row],[Lineas]]/Info_Camas[[#This Row],[Cortinas]],"Pendiente")</f>
        <v>21.6</v>
      </c>
    </row>
    <row r="337" spans="1:10" hidden="1" x14ac:dyDescent="0.25">
      <c r="A337" t="str">
        <f>+_xlfn.CONCAT(Info_Camas[[#This Row],[Bloque]],Info_Camas[[#This Row],[Lado]],Info_Camas[[#This Row],[Cama]])</f>
        <v>02B076</v>
      </c>
      <c r="B337" t="s">
        <v>739</v>
      </c>
      <c r="C337" t="s">
        <v>20</v>
      </c>
      <c r="D337" t="s">
        <v>21</v>
      </c>
      <c r="E337" t="s">
        <v>83</v>
      </c>
      <c r="F337" t="s">
        <v>216</v>
      </c>
      <c r="G337">
        <v>59.063000000000002</v>
      </c>
      <c r="H337" s="9">
        <v>10</v>
      </c>
      <c r="I337" s="9">
        <v>216</v>
      </c>
      <c r="J337" s="6">
        <f>IFERROR(Info_Camas[[#This Row],[Lineas]]/Info_Camas[[#This Row],[Cortinas]],"Pendiente")</f>
        <v>21.6</v>
      </c>
    </row>
    <row r="338" spans="1:10" hidden="1" x14ac:dyDescent="0.25">
      <c r="A338" t="str">
        <f>+_xlfn.CONCAT(Info_Camas[[#This Row],[Bloque]],Info_Camas[[#This Row],[Lado]],Info_Camas[[#This Row],[Cama]])</f>
        <v>02A077</v>
      </c>
      <c r="B338" t="s">
        <v>739</v>
      </c>
      <c r="C338" t="s">
        <v>20</v>
      </c>
      <c r="D338" t="s">
        <v>15</v>
      </c>
      <c r="E338" t="s">
        <v>86</v>
      </c>
      <c r="F338" t="s">
        <v>218</v>
      </c>
      <c r="G338">
        <v>59.063000000000002</v>
      </c>
      <c r="H338" s="9">
        <v>10</v>
      </c>
      <c r="I338" s="9">
        <v>217</v>
      </c>
      <c r="J338" s="6">
        <f>IFERROR(Info_Camas[[#This Row],[Lineas]]/Info_Camas[[#This Row],[Cortinas]],"Pendiente")</f>
        <v>21.7</v>
      </c>
    </row>
    <row r="339" spans="1:10" hidden="1" x14ac:dyDescent="0.25">
      <c r="A339" t="str">
        <f>+_xlfn.CONCAT(Info_Camas[[#This Row],[Bloque]],Info_Camas[[#This Row],[Lado]],Info_Camas[[#This Row],[Cama]])</f>
        <v>02B077</v>
      </c>
      <c r="B339" t="s">
        <v>739</v>
      </c>
      <c r="C339" t="s">
        <v>20</v>
      </c>
      <c r="D339" t="s">
        <v>21</v>
      </c>
      <c r="E339" t="s">
        <v>86</v>
      </c>
      <c r="F339" t="s">
        <v>218</v>
      </c>
      <c r="G339">
        <v>59.063000000000002</v>
      </c>
      <c r="H339" s="9">
        <v>10</v>
      </c>
      <c r="I339" s="9">
        <v>215</v>
      </c>
      <c r="J339" s="6">
        <f>IFERROR(Info_Camas[[#This Row],[Lineas]]/Info_Camas[[#This Row],[Cortinas]],"Pendiente")</f>
        <v>21.5</v>
      </c>
    </row>
    <row r="340" spans="1:10" hidden="1" x14ac:dyDescent="0.25">
      <c r="A340" t="str">
        <f>+_xlfn.CONCAT(Info_Camas[[#This Row],[Bloque]],Info_Camas[[#This Row],[Lado]],Info_Camas[[#This Row],[Cama]])</f>
        <v>02A078</v>
      </c>
      <c r="B340" t="s">
        <v>739</v>
      </c>
      <c r="C340" t="s">
        <v>20</v>
      </c>
      <c r="D340" t="s">
        <v>15</v>
      </c>
      <c r="E340" t="s">
        <v>86</v>
      </c>
      <c r="F340" t="s">
        <v>220</v>
      </c>
      <c r="G340">
        <v>4.4343000000000004</v>
      </c>
      <c r="H340" s="9">
        <v>10</v>
      </c>
      <c r="I340" s="9">
        <v>216</v>
      </c>
      <c r="J340" s="6">
        <f>IFERROR(Info_Camas[[#This Row],[Lineas]]/Info_Camas[[#This Row],[Cortinas]],"Pendiente")</f>
        <v>21.6</v>
      </c>
    </row>
    <row r="341" spans="1:10" hidden="1" x14ac:dyDescent="0.25">
      <c r="A341" t="str">
        <f>+_xlfn.CONCAT(Info_Camas[[#This Row],[Bloque]],Info_Camas[[#This Row],[Lado]],Info_Camas[[#This Row],[Cama]])</f>
        <v>02B078</v>
      </c>
      <c r="B341" t="s">
        <v>739</v>
      </c>
      <c r="C341" t="s">
        <v>20</v>
      </c>
      <c r="D341" t="s">
        <v>21</v>
      </c>
      <c r="E341" t="s">
        <v>86</v>
      </c>
      <c r="F341" t="s">
        <v>220</v>
      </c>
      <c r="G341">
        <v>59.063000000000002</v>
      </c>
      <c r="H341" s="9">
        <v>10</v>
      </c>
      <c r="I341" s="9">
        <v>213</v>
      </c>
      <c r="J341" s="6">
        <f>IFERROR(Info_Camas[[#This Row],[Lineas]]/Info_Camas[[#This Row],[Cortinas]],"Pendiente")</f>
        <v>21.3</v>
      </c>
    </row>
    <row r="342" spans="1:10" hidden="1" x14ac:dyDescent="0.25">
      <c r="A342" t="str">
        <f>+_xlfn.CONCAT(Info_Camas[[#This Row],[Bloque]],Info_Camas[[#This Row],[Lado]],Info_Camas[[#This Row],[Cama]])</f>
        <v>02A079</v>
      </c>
      <c r="B342" t="s">
        <v>739</v>
      </c>
      <c r="C342" t="s">
        <v>20</v>
      </c>
      <c r="D342" t="s">
        <v>15</v>
      </c>
      <c r="E342" t="s">
        <v>86</v>
      </c>
      <c r="F342" t="s">
        <v>222</v>
      </c>
      <c r="G342">
        <v>59.063000000000002</v>
      </c>
      <c r="H342" s="9">
        <v>10</v>
      </c>
      <c r="I342" s="9">
        <v>217</v>
      </c>
      <c r="J342" s="6">
        <f>IFERROR(Info_Camas[[#This Row],[Lineas]]/Info_Camas[[#This Row],[Cortinas]],"Pendiente")</f>
        <v>21.7</v>
      </c>
    </row>
    <row r="343" spans="1:10" hidden="1" x14ac:dyDescent="0.25">
      <c r="A343" t="str">
        <f>+_xlfn.CONCAT(Info_Camas[[#This Row],[Bloque]],Info_Camas[[#This Row],[Lado]],Info_Camas[[#This Row],[Cama]])</f>
        <v>02B079</v>
      </c>
      <c r="B343" t="s">
        <v>739</v>
      </c>
      <c r="C343" t="s">
        <v>20</v>
      </c>
      <c r="D343" t="s">
        <v>21</v>
      </c>
      <c r="E343" t="s">
        <v>86</v>
      </c>
      <c r="F343" t="s">
        <v>222</v>
      </c>
      <c r="G343">
        <v>59.063000000000002</v>
      </c>
      <c r="H343" s="9">
        <v>10</v>
      </c>
      <c r="I343" s="9">
        <v>217</v>
      </c>
      <c r="J343" s="6">
        <f>IFERROR(Info_Camas[[#This Row],[Lineas]]/Info_Camas[[#This Row],[Cortinas]],"Pendiente")</f>
        <v>21.7</v>
      </c>
    </row>
    <row r="344" spans="1:10" hidden="1" x14ac:dyDescent="0.25">
      <c r="A344" t="str">
        <f>+_xlfn.CONCAT(Info_Camas[[#This Row],[Bloque]],Info_Camas[[#This Row],[Lado]],Info_Camas[[#This Row],[Cama]])</f>
        <v>02A080</v>
      </c>
      <c r="B344" t="s">
        <v>739</v>
      </c>
      <c r="C344" t="s">
        <v>20</v>
      </c>
      <c r="D344" t="s">
        <v>15</v>
      </c>
      <c r="E344" t="s">
        <v>86</v>
      </c>
      <c r="F344" t="s">
        <v>224</v>
      </c>
      <c r="G344">
        <v>5.9085999999999999</v>
      </c>
      <c r="H344" s="9">
        <v>10</v>
      </c>
      <c r="I344" s="9">
        <v>216</v>
      </c>
      <c r="J344" s="6">
        <f>IFERROR(Info_Camas[[#This Row],[Lineas]]/Info_Camas[[#This Row],[Cortinas]],"Pendiente")</f>
        <v>21.6</v>
      </c>
    </row>
    <row r="345" spans="1:10" hidden="1" x14ac:dyDescent="0.25">
      <c r="A345" t="str">
        <f>+_xlfn.CONCAT(Info_Camas[[#This Row],[Bloque]],Info_Camas[[#This Row],[Lado]],Info_Camas[[#This Row],[Cama]])</f>
        <v>02B080</v>
      </c>
      <c r="B345" t="s">
        <v>739</v>
      </c>
      <c r="C345" t="s">
        <v>20</v>
      </c>
      <c r="D345" t="s">
        <v>21</v>
      </c>
      <c r="E345" t="s">
        <v>86</v>
      </c>
      <c r="F345" t="s">
        <v>224</v>
      </c>
      <c r="G345">
        <v>20.6721</v>
      </c>
      <c r="H345" s="9">
        <v>10</v>
      </c>
      <c r="I345" s="9">
        <v>215</v>
      </c>
      <c r="J345" s="6">
        <f>IFERROR(Info_Camas[[#This Row],[Lineas]]/Info_Camas[[#This Row],[Cortinas]],"Pendiente")</f>
        <v>21.5</v>
      </c>
    </row>
    <row r="346" spans="1:10" hidden="1" x14ac:dyDescent="0.25">
      <c r="A346" t="str">
        <f>+_xlfn.CONCAT(Info_Camas[[#This Row],[Bloque]],Info_Camas[[#This Row],[Lado]],Info_Camas[[#This Row],[Cama]])</f>
        <v>02A081</v>
      </c>
      <c r="B346" t="s">
        <v>739</v>
      </c>
      <c r="C346" t="s">
        <v>20</v>
      </c>
      <c r="D346" t="s">
        <v>15</v>
      </c>
      <c r="E346" t="s">
        <v>89</v>
      </c>
      <c r="F346" t="s">
        <v>226</v>
      </c>
      <c r="G346">
        <v>59.063000000000002</v>
      </c>
      <c r="H346" s="9">
        <v>10</v>
      </c>
      <c r="I346" s="9">
        <v>214</v>
      </c>
      <c r="J346" s="6">
        <f>IFERROR(Info_Camas[[#This Row],[Lineas]]/Info_Camas[[#This Row],[Cortinas]],"Pendiente")</f>
        <v>21.4</v>
      </c>
    </row>
    <row r="347" spans="1:10" hidden="1" x14ac:dyDescent="0.25">
      <c r="A347" t="str">
        <f>+_xlfn.CONCAT(Info_Camas[[#This Row],[Bloque]],Info_Camas[[#This Row],[Lado]],Info_Camas[[#This Row],[Cama]])</f>
        <v>02B081</v>
      </c>
      <c r="B347" t="s">
        <v>739</v>
      </c>
      <c r="C347" t="s">
        <v>20</v>
      </c>
      <c r="D347" t="s">
        <v>21</v>
      </c>
      <c r="E347" t="s">
        <v>89</v>
      </c>
      <c r="F347" t="s">
        <v>226</v>
      </c>
      <c r="G347">
        <v>33.217199999999998</v>
      </c>
      <c r="H347" s="9">
        <v>10</v>
      </c>
      <c r="I347" s="9">
        <v>215</v>
      </c>
      <c r="J347" s="6">
        <f>IFERROR(Info_Camas[[#This Row],[Lineas]]/Info_Camas[[#This Row],[Cortinas]],"Pendiente")</f>
        <v>21.5</v>
      </c>
    </row>
    <row r="348" spans="1:10" hidden="1" x14ac:dyDescent="0.25">
      <c r="A348" t="str">
        <f>+_xlfn.CONCAT(Info_Camas[[#This Row],[Bloque]],Info_Camas[[#This Row],[Lado]],Info_Camas[[#This Row],[Cama]])</f>
        <v>02A082</v>
      </c>
      <c r="B348" t="s">
        <v>739</v>
      </c>
      <c r="C348" t="s">
        <v>20</v>
      </c>
      <c r="D348" t="s">
        <v>15</v>
      </c>
      <c r="E348" t="s">
        <v>89</v>
      </c>
      <c r="F348" t="s">
        <v>229</v>
      </c>
      <c r="G348">
        <v>59.063000000000002</v>
      </c>
      <c r="H348" s="9">
        <v>10</v>
      </c>
      <c r="I348" s="9">
        <v>217</v>
      </c>
      <c r="J348" s="6">
        <f>IFERROR(Info_Camas[[#This Row],[Lineas]]/Info_Camas[[#This Row],[Cortinas]],"Pendiente")</f>
        <v>21.7</v>
      </c>
    </row>
    <row r="349" spans="1:10" hidden="1" x14ac:dyDescent="0.25">
      <c r="A349" t="str">
        <f>+_xlfn.CONCAT(Info_Camas[[#This Row],[Bloque]],Info_Camas[[#This Row],[Lado]],Info_Camas[[#This Row],[Cama]])</f>
        <v>02B082</v>
      </c>
      <c r="B349" t="s">
        <v>739</v>
      </c>
      <c r="C349" t="s">
        <v>20</v>
      </c>
      <c r="D349" t="s">
        <v>21</v>
      </c>
      <c r="E349" t="s">
        <v>89</v>
      </c>
      <c r="F349" t="s">
        <v>229</v>
      </c>
      <c r="G349">
        <v>59.063000000000002</v>
      </c>
      <c r="H349" s="9">
        <v>10</v>
      </c>
      <c r="I349" s="9">
        <v>214</v>
      </c>
      <c r="J349" s="6">
        <f>IFERROR(Info_Camas[[#This Row],[Lineas]]/Info_Camas[[#This Row],[Cortinas]],"Pendiente")</f>
        <v>21.4</v>
      </c>
    </row>
    <row r="350" spans="1:10" hidden="1" x14ac:dyDescent="0.25">
      <c r="A350" t="str">
        <f>+_xlfn.CONCAT(Info_Camas[[#This Row],[Bloque]],Info_Camas[[#This Row],[Lado]],Info_Camas[[#This Row],[Cama]])</f>
        <v>02A083</v>
      </c>
      <c r="B350" t="s">
        <v>739</v>
      </c>
      <c r="C350" t="s">
        <v>20</v>
      </c>
      <c r="D350" t="s">
        <v>15</v>
      </c>
      <c r="E350" t="s">
        <v>89</v>
      </c>
      <c r="F350" t="s">
        <v>231</v>
      </c>
      <c r="G350">
        <v>59.063000000000002</v>
      </c>
      <c r="H350" s="9">
        <v>10</v>
      </c>
      <c r="I350" s="9">
        <v>216</v>
      </c>
      <c r="J350" s="6">
        <f>IFERROR(Info_Camas[[#This Row],[Lineas]]/Info_Camas[[#This Row],[Cortinas]],"Pendiente")</f>
        <v>21.6</v>
      </c>
    </row>
    <row r="351" spans="1:10" hidden="1" x14ac:dyDescent="0.25">
      <c r="A351" t="str">
        <f>+_xlfn.CONCAT(Info_Camas[[#This Row],[Bloque]],Info_Camas[[#This Row],[Lado]],Info_Camas[[#This Row],[Cama]])</f>
        <v>02B083</v>
      </c>
      <c r="B351" t="s">
        <v>739</v>
      </c>
      <c r="C351" t="s">
        <v>20</v>
      </c>
      <c r="D351" t="s">
        <v>21</v>
      </c>
      <c r="E351" t="s">
        <v>89</v>
      </c>
      <c r="F351" t="s">
        <v>231</v>
      </c>
      <c r="G351">
        <v>5.9062999999999999</v>
      </c>
      <c r="H351" s="9">
        <v>10</v>
      </c>
      <c r="I351" s="9">
        <v>216</v>
      </c>
      <c r="J351" s="6">
        <f>IFERROR(Info_Camas[[#This Row],[Lineas]]/Info_Camas[[#This Row],[Cortinas]],"Pendiente")</f>
        <v>21.6</v>
      </c>
    </row>
    <row r="352" spans="1:10" hidden="1" x14ac:dyDescent="0.25">
      <c r="A352" t="str">
        <f>+_xlfn.CONCAT(Info_Camas[[#This Row],[Bloque]],Info_Camas[[#This Row],[Lado]],Info_Camas[[#This Row],[Cama]])</f>
        <v>02A084</v>
      </c>
      <c r="B352" t="s">
        <v>739</v>
      </c>
      <c r="C352" t="s">
        <v>20</v>
      </c>
      <c r="D352" t="s">
        <v>15</v>
      </c>
      <c r="E352" t="s">
        <v>89</v>
      </c>
      <c r="F352" t="s">
        <v>233</v>
      </c>
      <c r="G352">
        <v>59.063000000000002</v>
      </c>
      <c r="H352" s="9">
        <v>10</v>
      </c>
      <c r="I352" s="9">
        <v>215</v>
      </c>
      <c r="J352" s="6">
        <f>IFERROR(Info_Camas[[#This Row],[Lineas]]/Info_Camas[[#This Row],[Cortinas]],"Pendiente")</f>
        <v>21.5</v>
      </c>
    </row>
    <row r="353" spans="1:10" hidden="1" x14ac:dyDescent="0.25">
      <c r="A353" t="str">
        <f>+_xlfn.CONCAT(Info_Camas[[#This Row],[Bloque]],Info_Camas[[#This Row],[Lado]],Info_Camas[[#This Row],[Cama]])</f>
        <v>02B084</v>
      </c>
      <c r="B353" t="s">
        <v>739</v>
      </c>
      <c r="C353" t="s">
        <v>20</v>
      </c>
      <c r="D353" t="s">
        <v>21</v>
      </c>
      <c r="E353" t="s">
        <v>89</v>
      </c>
      <c r="F353" t="s">
        <v>233</v>
      </c>
      <c r="G353">
        <v>5.9108999999999998</v>
      </c>
      <c r="H353" s="9">
        <v>10</v>
      </c>
      <c r="I353" s="9">
        <v>217</v>
      </c>
      <c r="J353" s="6">
        <f>IFERROR(Info_Camas[[#This Row],[Lineas]]/Info_Camas[[#This Row],[Cortinas]],"Pendiente")</f>
        <v>21.7</v>
      </c>
    </row>
    <row r="354" spans="1:10" hidden="1" x14ac:dyDescent="0.25">
      <c r="A354" t="str">
        <f>+_xlfn.CONCAT(Info_Camas[[#This Row],[Bloque]],Info_Camas[[#This Row],[Lado]],Info_Camas[[#This Row],[Cama]])</f>
        <v>02A085</v>
      </c>
      <c r="B354" t="s">
        <v>739</v>
      </c>
      <c r="C354" t="s">
        <v>20</v>
      </c>
      <c r="D354" t="s">
        <v>15</v>
      </c>
      <c r="E354" t="s">
        <v>93</v>
      </c>
      <c r="F354" t="s">
        <v>235</v>
      </c>
      <c r="G354">
        <v>59.063000000000002</v>
      </c>
      <c r="H354" s="9">
        <v>10</v>
      </c>
      <c r="I354" s="9">
        <v>215</v>
      </c>
      <c r="J354" s="6">
        <f>IFERROR(Info_Camas[[#This Row],[Lineas]]/Info_Camas[[#This Row],[Cortinas]],"Pendiente")</f>
        <v>21.5</v>
      </c>
    </row>
    <row r="355" spans="1:10" hidden="1" x14ac:dyDescent="0.25">
      <c r="A355" t="str">
        <f>+_xlfn.CONCAT(Info_Camas[[#This Row],[Bloque]],Info_Camas[[#This Row],[Lado]],Info_Camas[[#This Row],[Cama]])</f>
        <v>02B085</v>
      </c>
      <c r="B355" t="s">
        <v>739</v>
      </c>
      <c r="C355" t="s">
        <v>20</v>
      </c>
      <c r="D355" t="s">
        <v>21</v>
      </c>
      <c r="E355" t="s">
        <v>93</v>
      </c>
      <c r="F355" t="s">
        <v>235</v>
      </c>
      <c r="G355">
        <v>59.063000000000002</v>
      </c>
      <c r="H355" s="9">
        <v>10</v>
      </c>
      <c r="I355" s="9">
        <v>215</v>
      </c>
      <c r="J355" s="6">
        <f>IFERROR(Info_Camas[[#This Row],[Lineas]]/Info_Camas[[#This Row],[Cortinas]],"Pendiente")</f>
        <v>21.5</v>
      </c>
    </row>
    <row r="356" spans="1:10" hidden="1" x14ac:dyDescent="0.25">
      <c r="A356" t="str">
        <f>+_xlfn.CONCAT(Info_Camas[[#This Row],[Bloque]],Info_Camas[[#This Row],[Lado]],Info_Camas[[#This Row],[Cama]])</f>
        <v>02A086</v>
      </c>
      <c r="B356" t="s">
        <v>739</v>
      </c>
      <c r="C356" t="s">
        <v>20</v>
      </c>
      <c r="D356" t="s">
        <v>15</v>
      </c>
      <c r="E356" t="s">
        <v>93</v>
      </c>
      <c r="F356" t="s">
        <v>238</v>
      </c>
      <c r="G356">
        <v>5.9016999999999999</v>
      </c>
      <c r="H356" s="9">
        <v>10</v>
      </c>
      <c r="I356" s="9">
        <v>216</v>
      </c>
      <c r="J356" s="6">
        <f>IFERROR(Info_Camas[[#This Row],[Lineas]]/Info_Camas[[#This Row],[Cortinas]],"Pendiente")</f>
        <v>21.6</v>
      </c>
    </row>
    <row r="357" spans="1:10" hidden="1" x14ac:dyDescent="0.25">
      <c r="A357" t="str">
        <f>+_xlfn.CONCAT(Info_Camas[[#This Row],[Bloque]],Info_Camas[[#This Row],[Lado]],Info_Camas[[#This Row],[Cama]])</f>
        <v>02B086</v>
      </c>
      <c r="B357" t="s">
        <v>739</v>
      </c>
      <c r="C357" t="s">
        <v>20</v>
      </c>
      <c r="D357" t="s">
        <v>21</v>
      </c>
      <c r="E357" t="s">
        <v>93</v>
      </c>
      <c r="F357" t="s">
        <v>238</v>
      </c>
      <c r="G357">
        <v>59.063000000000002</v>
      </c>
      <c r="H357" s="9">
        <v>10</v>
      </c>
      <c r="I357" s="9">
        <v>216</v>
      </c>
      <c r="J357" s="6">
        <f>IFERROR(Info_Camas[[#This Row],[Lineas]]/Info_Camas[[#This Row],[Cortinas]],"Pendiente")</f>
        <v>21.6</v>
      </c>
    </row>
    <row r="358" spans="1:10" hidden="1" x14ac:dyDescent="0.25">
      <c r="A358" t="str">
        <f>+_xlfn.CONCAT(Info_Camas[[#This Row],[Bloque]],Info_Camas[[#This Row],[Lado]],Info_Camas[[#This Row],[Cama]])</f>
        <v>02A087</v>
      </c>
      <c r="B358" t="s">
        <v>739</v>
      </c>
      <c r="C358" t="s">
        <v>20</v>
      </c>
      <c r="D358" t="s">
        <v>15</v>
      </c>
      <c r="E358" t="s">
        <v>93</v>
      </c>
      <c r="F358" t="s">
        <v>240</v>
      </c>
      <c r="G358">
        <v>59.063000000000002</v>
      </c>
      <c r="H358" s="9">
        <v>10</v>
      </c>
      <c r="I358" s="9">
        <v>215</v>
      </c>
      <c r="J358" s="6">
        <f>IFERROR(Info_Camas[[#This Row],[Lineas]]/Info_Camas[[#This Row],[Cortinas]],"Pendiente")</f>
        <v>21.5</v>
      </c>
    </row>
    <row r="359" spans="1:10" hidden="1" x14ac:dyDescent="0.25">
      <c r="A359" t="str">
        <f>+_xlfn.CONCAT(Info_Camas[[#This Row],[Bloque]],Info_Camas[[#This Row],[Lado]],Info_Camas[[#This Row],[Cama]])</f>
        <v>02B087</v>
      </c>
      <c r="B359" t="s">
        <v>739</v>
      </c>
      <c r="C359" t="s">
        <v>20</v>
      </c>
      <c r="D359" t="s">
        <v>21</v>
      </c>
      <c r="E359" t="s">
        <v>93</v>
      </c>
      <c r="F359" t="s">
        <v>240</v>
      </c>
      <c r="G359">
        <v>59.063000000000002</v>
      </c>
      <c r="H359" s="9">
        <v>10</v>
      </c>
      <c r="I359" s="9">
        <v>216</v>
      </c>
      <c r="J359" s="6">
        <f>IFERROR(Info_Camas[[#This Row],[Lineas]]/Info_Camas[[#This Row],[Cortinas]],"Pendiente")</f>
        <v>21.6</v>
      </c>
    </row>
    <row r="360" spans="1:10" hidden="1" x14ac:dyDescent="0.25">
      <c r="A360" t="str">
        <f>+_xlfn.CONCAT(Info_Camas[[#This Row],[Bloque]],Info_Camas[[#This Row],[Lado]],Info_Camas[[#This Row],[Cama]])</f>
        <v>02A088</v>
      </c>
      <c r="B360" t="s">
        <v>739</v>
      </c>
      <c r="C360" t="s">
        <v>20</v>
      </c>
      <c r="D360" t="s">
        <v>15</v>
      </c>
      <c r="E360" t="s">
        <v>93</v>
      </c>
      <c r="F360" t="s">
        <v>242</v>
      </c>
      <c r="G360">
        <v>13.286899999999999</v>
      </c>
      <c r="H360" s="9">
        <v>10</v>
      </c>
      <c r="I360" s="9">
        <v>219</v>
      </c>
      <c r="J360" s="6">
        <f>IFERROR(Info_Camas[[#This Row],[Lineas]]/Info_Camas[[#This Row],[Cortinas]],"Pendiente")</f>
        <v>21.9</v>
      </c>
    </row>
    <row r="361" spans="1:10" hidden="1" x14ac:dyDescent="0.25">
      <c r="A361" t="str">
        <f>+_xlfn.CONCAT(Info_Camas[[#This Row],[Bloque]],Info_Camas[[#This Row],[Lado]],Info_Camas[[#This Row],[Cama]])</f>
        <v>02B088</v>
      </c>
      <c r="B361" t="s">
        <v>739</v>
      </c>
      <c r="C361" t="s">
        <v>20</v>
      </c>
      <c r="D361" t="s">
        <v>21</v>
      </c>
      <c r="E361" t="s">
        <v>93</v>
      </c>
      <c r="F361" t="s">
        <v>242</v>
      </c>
      <c r="G361">
        <v>59.063000000000002</v>
      </c>
      <c r="H361" s="9">
        <v>10</v>
      </c>
      <c r="I361" s="9">
        <v>215</v>
      </c>
      <c r="J361" s="6">
        <f>IFERROR(Info_Camas[[#This Row],[Lineas]]/Info_Camas[[#This Row],[Cortinas]],"Pendiente")</f>
        <v>21.5</v>
      </c>
    </row>
    <row r="362" spans="1:10" hidden="1" x14ac:dyDescent="0.25">
      <c r="A362" t="str">
        <f>+_xlfn.CONCAT(Info_Camas[[#This Row],[Bloque]],Info_Camas[[#This Row],[Lado]],Info_Camas[[#This Row],[Cama]])</f>
        <v>02A089</v>
      </c>
      <c r="B362" t="s">
        <v>739</v>
      </c>
      <c r="C362" t="s">
        <v>20</v>
      </c>
      <c r="D362" t="s">
        <v>15</v>
      </c>
      <c r="E362" t="s">
        <v>96</v>
      </c>
      <c r="F362" t="s">
        <v>244</v>
      </c>
      <c r="G362">
        <v>59.063000000000002</v>
      </c>
      <c r="H362" s="9">
        <v>10</v>
      </c>
      <c r="I362" s="9">
        <v>218</v>
      </c>
      <c r="J362" s="6">
        <f>IFERROR(Info_Camas[[#This Row],[Lineas]]/Info_Camas[[#This Row],[Cortinas]],"Pendiente")</f>
        <v>21.8</v>
      </c>
    </row>
    <row r="363" spans="1:10" hidden="1" x14ac:dyDescent="0.25">
      <c r="A363" t="str">
        <f>+_xlfn.CONCAT(Info_Camas[[#This Row],[Bloque]],Info_Camas[[#This Row],[Lado]],Info_Camas[[#This Row],[Cama]])</f>
        <v>02B089</v>
      </c>
      <c r="B363" t="s">
        <v>739</v>
      </c>
      <c r="C363" t="s">
        <v>20</v>
      </c>
      <c r="D363" t="s">
        <v>21</v>
      </c>
      <c r="E363" t="s">
        <v>96</v>
      </c>
      <c r="F363" t="s">
        <v>244</v>
      </c>
      <c r="G363">
        <v>59.063000000000002</v>
      </c>
      <c r="H363" s="9">
        <v>10</v>
      </c>
      <c r="I363" s="9">
        <v>201</v>
      </c>
      <c r="J363" s="6">
        <f>IFERROR(Info_Camas[[#This Row],[Lineas]]/Info_Camas[[#This Row],[Cortinas]],"Pendiente")</f>
        <v>20.100000000000001</v>
      </c>
    </row>
    <row r="364" spans="1:10" hidden="1" x14ac:dyDescent="0.25">
      <c r="A364" t="str">
        <f>+_xlfn.CONCAT(Info_Camas[[#This Row],[Bloque]],Info_Camas[[#This Row],[Lado]],Info_Camas[[#This Row],[Cama]])</f>
        <v>02A090</v>
      </c>
      <c r="B364" t="s">
        <v>739</v>
      </c>
      <c r="C364" t="s">
        <v>20</v>
      </c>
      <c r="D364" t="s">
        <v>15</v>
      </c>
      <c r="E364" t="s">
        <v>96</v>
      </c>
      <c r="F364" t="s">
        <v>246</v>
      </c>
      <c r="G364">
        <v>11.8171</v>
      </c>
      <c r="H364" s="9">
        <v>10</v>
      </c>
      <c r="I364" s="9">
        <v>215</v>
      </c>
      <c r="J364" s="6">
        <f>IFERROR(Info_Camas[[#This Row],[Lineas]]/Info_Camas[[#This Row],[Cortinas]],"Pendiente")</f>
        <v>21.5</v>
      </c>
    </row>
    <row r="365" spans="1:10" hidden="1" x14ac:dyDescent="0.25">
      <c r="A365" t="str">
        <f>+_xlfn.CONCAT(Info_Camas[[#This Row],[Bloque]],Info_Camas[[#This Row],[Lado]],Info_Camas[[#This Row],[Cama]])</f>
        <v>02B090</v>
      </c>
      <c r="B365" t="s">
        <v>739</v>
      </c>
      <c r="C365" t="s">
        <v>20</v>
      </c>
      <c r="D365" t="s">
        <v>21</v>
      </c>
      <c r="E365" t="s">
        <v>96</v>
      </c>
      <c r="F365" t="s">
        <v>246</v>
      </c>
      <c r="G365">
        <v>59.063000000000002</v>
      </c>
      <c r="H365" s="9">
        <v>10</v>
      </c>
      <c r="I365" s="9">
        <v>202</v>
      </c>
      <c r="J365" s="6">
        <f>IFERROR(Info_Camas[[#This Row],[Lineas]]/Info_Camas[[#This Row],[Cortinas]],"Pendiente")</f>
        <v>20.2</v>
      </c>
    </row>
    <row r="366" spans="1:10" hidden="1" x14ac:dyDescent="0.25">
      <c r="A366" t="str">
        <f>+_xlfn.CONCAT(Info_Camas[[#This Row],[Bloque]],Info_Camas[[#This Row],[Lado]],Info_Camas[[#This Row],[Cama]])</f>
        <v>02A091</v>
      </c>
      <c r="B366" t="s">
        <v>739</v>
      </c>
      <c r="C366" t="s">
        <v>20</v>
      </c>
      <c r="D366" t="s">
        <v>15</v>
      </c>
      <c r="E366" t="s">
        <v>96</v>
      </c>
      <c r="F366" t="s">
        <v>248</v>
      </c>
      <c r="G366">
        <v>59.063000000000002</v>
      </c>
      <c r="H366" s="9">
        <v>10</v>
      </c>
      <c r="I366" s="9">
        <v>215</v>
      </c>
      <c r="J366" s="6">
        <f>IFERROR(Info_Camas[[#This Row],[Lineas]]/Info_Camas[[#This Row],[Cortinas]],"Pendiente")</f>
        <v>21.5</v>
      </c>
    </row>
    <row r="367" spans="1:10" hidden="1" x14ac:dyDescent="0.25">
      <c r="A367" t="str">
        <f>+_xlfn.CONCAT(Info_Camas[[#This Row],[Bloque]],Info_Camas[[#This Row],[Lado]],Info_Camas[[#This Row],[Cama]])</f>
        <v>02B091</v>
      </c>
      <c r="B367" t="s">
        <v>739</v>
      </c>
      <c r="C367" t="s">
        <v>20</v>
      </c>
      <c r="D367" t="s">
        <v>21</v>
      </c>
      <c r="E367" t="s">
        <v>96</v>
      </c>
      <c r="F367" t="s">
        <v>248</v>
      </c>
      <c r="G367">
        <v>59.063000000000002</v>
      </c>
      <c r="H367" s="9">
        <v>10</v>
      </c>
      <c r="I367" s="9">
        <v>202</v>
      </c>
      <c r="J367" s="6">
        <f>IFERROR(Info_Camas[[#This Row],[Lineas]]/Info_Camas[[#This Row],[Cortinas]],"Pendiente")</f>
        <v>20.2</v>
      </c>
    </row>
    <row r="368" spans="1:10" hidden="1" x14ac:dyDescent="0.25">
      <c r="A368" t="str">
        <f>+_xlfn.CONCAT(Info_Camas[[#This Row],[Bloque]],Info_Camas[[#This Row],[Lado]],Info_Camas[[#This Row],[Cama]])</f>
        <v>02A092</v>
      </c>
      <c r="B368" t="s">
        <v>739</v>
      </c>
      <c r="C368" t="s">
        <v>20</v>
      </c>
      <c r="D368" t="s">
        <v>15</v>
      </c>
      <c r="E368" t="s">
        <v>96</v>
      </c>
      <c r="F368" t="s">
        <v>250</v>
      </c>
      <c r="G368">
        <v>59.063000000000002</v>
      </c>
      <c r="H368" s="9">
        <v>10</v>
      </c>
      <c r="I368" s="9">
        <v>216</v>
      </c>
      <c r="J368" s="6">
        <f>IFERROR(Info_Camas[[#This Row],[Lineas]]/Info_Camas[[#This Row],[Cortinas]],"Pendiente")</f>
        <v>21.6</v>
      </c>
    </row>
    <row r="369" spans="1:10" hidden="1" x14ac:dyDescent="0.25">
      <c r="A369" t="str">
        <f>+_xlfn.CONCAT(Info_Camas[[#This Row],[Bloque]],Info_Camas[[#This Row],[Lado]],Info_Camas[[#This Row],[Cama]])</f>
        <v>02B092</v>
      </c>
      <c r="B369" t="s">
        <v>739</v>
      </c>
      <c r="C369" t="s">
        <v>20</v>
      </c>
      <c r="D369" t="s">
        <v>21</v>
      </c>
      <c r="E369" t="s">
        <v>96</v>
      </c>
      <c r="F369" t="s">
        <v>250</v>
      </c>
      <c r="G369">
        <v>59.063000000000002</v>
      </c>
      <c r="H369" s="9">
        <v>10</v>
      </c>
      <c r="I369" s="9">
        <v>201</v>
      </c>
      <c r="J369" s="6">
        <f>IFERROR(Info_Camas[[#This Row],[Lineas]]/Info_Camas[[#This Row],[Cortinas]],"Pendiente")</f>
        <v>20.100000000000001</v>
      </c>
    </row>
    <row r="370" spans="1:10" hidden="1" x14ac:dyDescent="0.25">
      <c r="A370" t="str">
        <f>+_xlfn.CONCAT(Info_Camas[[#This Row],[Bloque]],Info_Camas[[#This Row],[Lado]],Info_Camas[[#This Row],[Cama]])</f>
        <v>02A093</v>
      </c>
      <c r="B370" t="s">
        <v>739</v>
      </c>
      <c r="C370" t="s">
        <v>20</v>
      </c>
      <c r="D370" t="s">
        <v>15</v>
      </c>
      <c r="E370" t="s">
        <v>99</v>
      </c>
      <c r="F370" t="s">
        <v>252</v>
      </c>
      <c r="G370">
        <v>1.4811000000000001</v>
      </c>
      <c r="H370" s="9">
        <v>10</v>
      </c>
      <c r="I370" s="9">
        <v>210</v>
      </c>
      <c r="J370" s="6">
        <f>IFERROR(Info_Camas[[#This Row],[Lineas]]/Info_Camas[[#This Row],[Cortinas]],"Pendiente")</f>
        <v>21</v>
      </c>
    </row>
    <row r="371" spans="1:10" hidden="1" x14ac:dyDescent="0.25">
      <c r="A371" t="str">
        <f>+_xlfn.CONCAT(Info_Camas[[#This Row],[Bloque]],Info_Camas[[#This Row],[Lado]],Info_Camas[[#This Row],[Cama]])</f>
        <v>02B093</v>
      </c>
      <c r="B371" t="s">
        <v>739</v>
      </c>
      <c r="C371" t="s">
        <v>20</v>
      </c>
      <c r="D371" t="s">
        <v>21</v>
      </c>
      <c r="E371" t="s">
        <v>99</v>
      </c>
      <c r="F371" t="s">
        <v>252</v>
      </c>
      <c r="G371">
        <v>59.063000000000002</v>
      </c>
      <c r="H371" s="9">
        <v>10</v>
      </c>
      <c r="I371" s="9">
        <v>214</v>
      </c>
      <c r="J371" s="6">
        <f>IFERROR(Info_Camas[[#This Row],[Lineas]]/Info_Camas[[#This Row],[Cortinas]],"Pendiente")</f>
        <v>21.4</v>
      </c>
    </row>
    <row r="372" spans="1:10" hidden="1" x14ac:dyDescent="0.25">
      <c r="A372" t="str">
        <f>+_xlfn.CONCAT(Info_Camas[[#This Row],[Bloque]],Info_Camas[[#This Row],[Lado]],Info_Camas[[#This Row],[Cama]])</f>
        <v>02A094</v>
      </c>
      <c r="B372" t="s">
        <v>739</v>
      </c>
      <c r="C372" t="s">
        <v>20</v>
      </c>
      <c r="D372" t="s">
        <v>15</v>
      </c>
      <c r="E372" t="s">
        <v>99</v>
      </c>
      <c r="F372" t="s">
        <v>254</v>
      </c>
      <c r="G372">
        <v>59.063000000000002</v>
      </c>
      <c r="H372" s="9">
        <v>10</v>
      </c>
      <c r="I372" s="9">
        <v>216</v>
      </c>
      <c r="J372" s="6">
        <f>IFERROR(Info_Camas[[#This Row],[Lineas]]/Info_Camas[[#This Row],[Cortinas]],"Pendiente")</f>
        <v>21.6</v>
      </c>
    </row>
    <row r="373" spans="1:10" hidden="1" x14ac:dyDescent="0.25">
      <c r="A373" t="str">
        <f>+_xlfn.CONCAT(Info_Camas[[#This Row],[Bloque]],Info_Camas[[#This Row],[Lado]],Info_Camas[[#This Row],[Cama]])</f>
        <v>02B094</v>
      </c>
      <c r="B373" t="s">
        <v>739</v>
      </c>
      <c r="C373" t="s">
        <v>20</v>
      </c>
      <c r="D373" t="s">
        <v>21</v>
      </c>
      <c r="E373" t="s">
        <v>99</v>
      </c>
      <c r="F373" t="s">
        <v>254</v>
      </c>
      <c r="G373">
        <v>59.063000000000002</v>
      </c>
      <c r="H373" s="9">
        <v>10</v>
      </c>
      <c r="I373" s="9">
        <v>214</v>
      </c>
      <c r="J373" s="6">
        <f>IFERROR(Info_Camas[[#This Row],[Lineas]]/Info_Camas[[#This Row],[Cortinas]],"Pendiente")</f>
        <v>21.4</v>
      </c>
    </row>
    <row r="374" spans="1:10" hidden="1" x14ac:dyDescent="0.25">
      <c r="A374" t="str">
        <f>+_xlfn.CONCAT(Info_Camas[[#This Row],[Bloque]],Info_Camas[[#This Row],[Lado]],Info_Camas[[#This Row],[Cama]])</f>
        <v>02A095</v>
      </c>
      <c r="B374" t="s">
        <v>739</v>
      </c>
      <c r="C374" t="s">
        <v>20</v>
      </c>
      <c r="D374" t="s">
        <v>15</v>
      </c>
      <c r="E374" t="s">
        <v>99</v>
      </c>
      <c r="F374" t="s">
        <v>256</v>
      </c>
      <c r="G374">
        <v>59.063000000000002</v>
      </c>
      <c r="H374" s="9">
        <v>10</v>
      </c>
      <c r="I374" s="9">
        <v>211</v>
      </c>
      <c r="J374" s="6">
        <f>IFERROR(Info_Camas[[#This Row],[Lineas]]/Info_Camas[[#This Row],[Cortinas]],"Pendiente")</f>
        <v>21.1</v>
      </c>
    </row>
    <row r="375" spans="1:10" hidden="1" x14ac:dyDescent="0.25">
      <c r="A375" t="str">
        <f>+_xlfn.CONCAT(Info_Camas[[#This Row],[Bloque]],Info_Camas[[#This Row],[Lado]],Info_Camas[[#This Row],[Cama]])</f>
        <v>02B095</v>
      </c>
      <c r="B375" t="s">
        <v>739</v>
      </c>
      <c r="C375" t="s">
        <v>20</v>
      </c>
      <c r="D375" t="s">
        <v>21</v>
      </c>
      <c r="E375" t="s">
        <v>99</v>
      </c>
      <c r="F375" t="s">
        <v>256</v>
      </c>
      <c r="G375">
        <v>59.063000000000002</v>
      </c>
      <c r="H375" s="9">
        <v>10</v>
      </c>
      <c r="I375" s="9">
        <v>208</v>
      </c>
      <c r="J375" s="6">
        <f>IFERROR(Info_Camas[[#This Row],[Lineas]]/Info_Camas[[#This Row],[Cortinas]],"Pendiente")</f>
        <v>20.8</v>
      </c>
    </row>
    <row r="376" spans="1:10" hidden="1" x14ac:dyDescent="0.25">
      <c r="A376" t="str">
        <f>+_xlfn.CONCAT(Info_Camas[[#This Row],[Bloque]],Info_Camas[[#This Row],[Lado]],Info_Camas[[#This Row],[Cama]])</f>
        <v>02A096</v>
      </c>
      <c r="B376" t="s">
        <v>739</v>
      </c>
      <c r="C376" t="s">
        <v>20</v>
      </c>
      <c r="D376" t="s">
        <v>15</v>
      </c>
      <c r="E376" t="s">
        <v>99</v>
      </c>
      <c r="F376" t="s">
        <v>258</v>
      </c>
      <c r="G376">
        <v>59.063000000000002</v>
      </c>
      <c r="H376" s="9">
        <v>10</v>
      </c>
      <c r="I376" s="9">
        <v>214</v>
      </c>
      <c r="J376" s="6">
        <f>IFERROR(Info_Camas[[#This Row],[Lineas]]/Info_Camas[[#This Row],[Cortinas]],"Pendiente")</f>
        <v>21.4</v>
      </c>
    </row>
    <row r="377" spans="1:10" hidden="1" x14ac:dyDescent="0.25">
      <c r="A377" t="str">
        <f>+_xlfn.CONCAT(Info_Camas[[#This Row],[Bloque]],Info_Camas[[#This Row],[Lado]],Info_Camas[[#This Row],[Cama]])</f>
        <v>02B096</v>
      </c>
      <c r="B377" t="s">
        <v>739</v>
      </c>
      <c r="C377" t="s">
        <v>20</v>
      </c>
      <c r="D377" t="s">
        <v>21</v>
      </c>
      <c r="E377" t="s">
        <v>99</v>
      </c>
      <c r="F377" t="s">
        <v>258</v>
      </c>
      <c r="G377">
        <v>59.063000000000002</v>
      </c>
      <c r="H377" s="9">
        <v>10</v>
      </c>
      <c r="I377" s="9">
        <v>209</v>
      </c>
      <c r="J377" s="6">
        <f>IFERROR(Info_Camas[[#This Row],[Lineas]]/Info_Camas[[#This Row],[Cortinas]],"Pendiente")</f>
        <v>20.9</v>
      </c>
    </row>
    <row r="378" spans="1:10" hidden="1" x14ac:dyDescent="0.25">
      <c r="A378" t="str">
        <f>+_xlfn.CONCAT(Info_Camas[[#This Row],[Bloque]],Info_Camas[[#This Row],[Lado]],Info_Camas[[#This Row],[Cama]])</f>
        <v>02A097</v>
      </c>
      <c r="B378" t="s">
        <v>739</v>
      </c>
      <c r="C378" t="s">
        <v>20</v>
      </c>
      <c r="D378" t="s">
        <v>15</v>
      </c>
      <c r="E378" t="s">
        <v>102</v>
      </c>
      <c r="F378" t="s">
        <v>260</v>
      </c>
      <c r="G378">
        <v>59.063000000000002</v>
      </c>
      <c r="H378" s="9">
        <v>10</v>
      </c>
      <c r="I378" s="9">
        <v>210</v>
      </c>
      <c r="J378" s="6">
        <f>IFERROR(Info_Camas[[#This Row],[Lineas]]/Info_Camas[[#This Row],[Cortinas]],"Pendiente")</f>
        <v>21</v>
      </c>
    </row>
    <row r="379" spans="1:10" hidden="1" x14ac:dyDescent="0.25">
      <c r="A379" t="str">
        <f>+_xlfn.CONCAT(Info_Camas[[#This Row],[Bloque]],Info_Camas[[#This Row],[Lado]],Info_Camas[[#This Row],[Cama]])</f>
        <v>02B097</v>
      </c>
      <c r="B379" t="s">
        <v>739</v>
      </c>
      <c r="C379" t="s">
        <v>20</v>
      </c>
      <c r="D379" t="s">
        <v>21</v>
      </c>
      <c r="E379" t="s">
        <v>102</v>
      </c>
      <c r="F379" t="s">
        <v>260</v>
      </c>
      <c r="G379">
        <v>27.882300000000001</v>
      </c>
      <c r="H379" s="9">
        <v>10</v>
      </c>
      <c r="I379" s="9">
        <v>209</v>
      </c>
      <c r="J379" s="6">
        <f>IFERROR(Info_Camas[[#This Row],[Lineas]]/Info_Camas[[#This Row],[Cortinas]],"Pendiente")</f>
        <v>20.9</v>
      </c>
    </row>
    <row r="380" spans="1:10" hidden="1" x14ac:dyDescent="0.25">
      <c r="A380" t="str">
        <f>+_xlfn.CONCAT(Info_Camas[[#This Row],[Bloque]],Info_Camas[[#This Row],[Lado]],Info_Camas[[#This Row],[Cama]])</f>
        <v>02A098</v>
      </c>
      <c r="B380" t="s">
        <v>739</v>
      </c>
      <c r="C380" t="s">
        <v>20</v>
      </c>
      <c r="D380" t="s">
        <v>15</v>
      </c>
      <c r="E380" t="s">
        <v>102</v>
      </c>
      <c r="F380" t="s">
        <v>262</v>
      </c>
      <c r="G380">
        <v>59.063000000000002</v>
      </c>
      <c r="H380" s="9">
        <v>10</v>
      </c>
      <c r="I380" s="9">
        <v>209</v>
      </c>
      <c r="J380" s="6">
        <f>IFERROR(Info_Camas[[#This Row],[Lineas]]/Info_Camas[[#This Row],[Cortinas]],"Pendiente")</f>
        <v>20.9</v>
      </c>
    </row>
    <row r="381" spans="1:10" hidden="1" x14ac:dyDescent="0.25">
      <c r="A381" t="str">
        <f>+_xlfn.CONCAT(Info_Camas[[#This Row],[Bloque]],Info_Camas[[#This Row],[Lado]],Info_Camas[[#This Row],[Cama]])</f>
        <v>02B098</v>
      </c>
      <c r="B381" t="s">
        <v>739</v>
      </c>
      <c r="C381" t="s">
        <v>20</v>
      </c>
      <c r="D381" t="s">
        <v>21</v>
      </c>
      <c r="E381" t="s">
        <v>102</v>
      </c>
      <c r="F381" t="s">
        <v>262</v>
      </c>
      <c r="G381">
        <v>59.063000000000002</v>
      </c>
      <c r="H381" s="9">
        <v>10</v>
      </c>
      <c r="I381" s="9">
        <v>207</v>
      </c>
      <c r="J381" s="6">
        <f>IFERROR(Info_Camas[[#This Row],[Lineas]]/Info_Camas[[#This Row],[Cortinas]],"Pendiente")</f>
        <v>20.7</v>
      </c>
    </row>
    <row r="382" spans="1:10" hidden="1" x14ac:dyDescent="0.25">
      <c r="A382" t="str">
        <f>+_xlfn.CONCAT(Info_Camas[[#This Row],[Bloque]],Info_Camas[[#This Row],[Lado]],Info_Camas[[#This Row],[Cama]])</f>
        <v>02A099</v>
      </c>
      <c r="B382" t="s">
        <v>739</v>
      </c>
      <c r="C382" t="s">
        <v>20</v>
      </c>
      <c r="D382" t="s">
        <v>15</v>
      </c>
      <c r="E382" t="s">
        <v>102</v>
      </c>
      <c r="F382" t="s">
        <v>264</v>
      </c>
      <c r="G382">
        <v>59.063000000000002</v>
      </c>
      <c r="H382" s="9">
        <v>10</v>
      </c>
      <c r="I382" s="9">
        <v>210</v>
      </c>
      <c r="J382" s="6">
        <f>IFERROR(Info_Camas[[#This Row],[Lineas]]/Info_Camas[[#This Row],[Cortinas]],"Pendiente")</f>
        <v>21</v>
      </c>
    </row>
    <row r="383" spans="1:10" hidden="1" x14ac:dyDescent="0.25">
      <c r="A383" t="str">
        <f>+_xlfn.CONCAT(Info_Camas[[#This Row],[Bloque]],Info_Camas[[#This Row],[Lado]],Info_Camas[[#This Row],[Cama]])</f>
        <v>02B099</v>
      </c>
      <c r="B383" t="s">
        <v>739</v>
      </c>
      <c r="C383" t="s">
        <v>20</v>
      </c>
      <c r="D383" t="s">
        <v>21</v>
      </c>
      <c r="E383" t="s">
        <v>102</v>
      </c>
      <c r="F383" t="s">
        <v>264</v>
      </c>
      <c r="G383">
        <v>59.063000000000002</v>
      </c>
      <c r="H383" s="9">
        <v>10</v>
      </c>
      <c r="I383" s="9">
        <v>209</v>
      </c>
      <c r="J383" s="6">
        <f>IFERROR(Info_Camas[[#This Row],[Lineas]]/Info_Camas[[#This Row],[Cortinas]],"Pendiente")</f>
        <v>20.9</v>
      </c>
    </row>
    <row r="384" spans="1:10" hidden="1" x14ac:dyDescent="0.25">
      <c r="A384" t="str">
        <f>+_xlfn.CONCAT(Info_Camas[[#This Row],[Bloque]],Info_Camas[[#This Row],[Lado]],Info_Camas[[#This Row],[Cama]])</f>
        <v>02A100</v>
      </c>
      <c r="B384" t="s">
        <v>739</v>
      </c>
      <c r="C384" t="s">
        <v>20</v>
      </c>
      <c r="D384" t="s">
        <v>15</v>
      </c>
      <c r="E384" t="s">
        <v>102</v>
      </c>
      <c r="F384" t="s">
        <v>266</v>
      </c>
      <c r="G384">
        <v>59.063000000000002</v>
      </c>
      <c r="H384" s="9">
        <v>10</v>
      </c>
      <c r="I384" s="9">
        <v>210</v>
      </c>
      <c r="J384" s="6">
        <f>IFERROR(Info_Camas[[#This Row],[Lineas]]/Info_Camas[[#This Row],[Cortinas]],"Pendiente")</f>
        <v>21</v>
      </c>
    </row>
    <row r="385" spans="1:10" hidden="1" x14ac:dyDescent="0.25">
      <c r="A385" t="str">
        <f>+_xlfn.CONCAT(Info_Camas[[#This Row],[Bloque]],Info_Camas[[#This Row],[Lado]],Info_Camas[[#This Row],[Cama]])</f>
        <v>02B100</v>
      </c>
      <c r="B385" t="s">
        <v>739</v>
      </c>
      <c r="C385" t="s">
        <v>20</v>
      </c>
      <c r="D385" t="s">
        <v>21</v>
      </c>
      <c r="E385" t="s">
        <v>102</v>
      </c>
      <c r="F385" t="s">
        <v>266</v>
      </c>
      <c r="G385">
        <v>59.063000000000002</v>
      </c>
      <c r="H385" s="9">
        <v>10</v>
      </c>
      <c r="I385" s="9">
        <v>207</v>
      </c>
      <c r="J385" s="6">
        <f>IFERROR(Info_Camas[[#This Row],[Lineas]]/Info_Camas[[#This Row],[Cortinas]],"Pendiente")</f>
        <v>20.7</v>
      </c>
    </row>
    <row r="386" spans="1:10" hidden="1" x14ac:dyDescent="0.25">
      <c r="A386" t="str">
        <f>+_xlfn.CONCAT(Info_Camas[[#This Row],[Bloque]],Info_Camas[[#This Row],[Lado]],Info_Camas[[#This Row],[Cama]])</f>
        <v>02A101</v>
      </c>
      <c r="B386" t="s">
        <v>739</v>
      </c>
      <c r="C386" t="s">
        <v>20</v>
      </c>
      <c r="D386" t="s">
        <v>15</v>
      </c>
      <c r="E386" t="s">
        <v>105</v>
      </c>
      <c r="F386" t="s">
        <v>268</v>
      </c>
      <c r="G386">
        <v>59.063000000000002</v>
      </c>
      <c r="H386" s="9">
        <v>10</v>
      </c>
      <c r="I386" s="9">
        <v>209</v>
      </c>
      <c r="J386" s="6">
        <f>IFERROR(Info_Camas[[#This Row],[Lineas]]/Info_Camas[[#This Row],[Cortinas]],"Pendiente")</f>
        <v>20.9</v>
      </c>
    </row>
    <row r="387" spans="1:10" hidden="1" x14ac:dyDescent="0.25">
      <c r="A387" t="str">
        <f>+_xlfn.CONCAT(Info_Camas[[#This Row],[Bloque]],Info_Camas[[#This Row],[Lado]],Info_Camas[[#This Row],[Cama]])</f>
        <v>02B101</v>
      </c>
      <c r="B387" t="s">
        <v>739</v>
      </c>
      <c r="C387" t="s">
        <v>20</v>
      </c>
      <c r="D387" t="s">
        <v>21</v>
      </c>
      <c r="E387" t="s">
        <v>105</v>
      </c>
      <c r="F387" t="s">
        <v>268</v>
      </c>
      <c r="G387">
        <v>59.063000000000002</v>
      </c>
      <c r="H387" s="9">
        <v>10</v>
      </c>
      <c r="I387" s="9">
        <v>208</v>
      </c>
      <c r="J387" s="6">
        <f>IFERROR(Info_Camas[[#This Row],[Lineas]]/Info_Camas[[#This Row],[Cortinas]],"Pendiente")</f>
        <v>20.8</v>
      </c>
    </row>
    <row r="388" spans="1:10" hidden="1" x14ac:dyDescent="0.25">
      <c r="A388" t="str">
        <f>+_xlfn.CONCAT(Info_Camas[[#This Row],[Bloque]],Info_Camas[[#This Row],[Lado]],Info_Camas[[#This Row],[Cama]])</f>
        <v>02A102</v>
      </c>
      <c r="B388" t="s">
        <v>739</v>
      </c>
      <c r="C388" t="s">
        <v>20</v>
      </c>
      <c r="D388" t="s">
        <v>15</v>
      </c>
      <c r="E388" t="s">
        <v>105</v>
      </c>
      <c r="F388" t="s">
        <v>270</v>
      </c>
      <c r="G388">
        <v>59.063000000000002</v>
      </c>
      <c r="H388" s="9">
        <v>10</v>
      </c>
      <c r="I388" s="9">
        <v>211</v>
      </c>
      <c r="J388" s="6">
        <f>IFERROR(Info_Camas[[#This Row],[Lineas]]/Info_Camas[[#This Row],[Cortinas]],"Pendiente")</f>
        <v>21.1</v>
      </c>
    </row>
    <row r="389" spans="1:10" hidden="1" x14ac:dyDescent="0.25">
      <c r="A389" t="str">
        <f>+_xlfn.CONCAT(Info_Camas[[#This Row],[Bloque]],Info_Camas[[#This Row],[Lado]],Info_Camas[[#This Row],[Cama]])</f>
        <v>02B102</v>
      </c>
      <c r="B389" t="s">
        <v>739</v>
      </c>
      <c r="C389" t="s">
        <v>20</v>
      </c>
      <c r="D389" t="s">
        <v>21</v>
      </c>
      <c r="E389" t="s">
        <v>105</v>
      </c>
      <c r="F389" t="s">
        <v>270</v>
      </c>
      <c r="G389">
        <v>59.063000000000002</v>
      </c>
      <c r="H389" s="9">
        <v>10</v>
      </c>
      <c r="I389" s="9">
        <v>210</v>
      </c>
      <c r="J389" s="6">
        <f>IFERROR(Info_Camas[[#This Row],[Lineas]]/Info_Camas[[#This Row],[Cortinas]],"Pendiente")</f>
        <v>21</v>
      </c>
    </row>
    <row r="390" spans="1:10" hidden="1" x14ac:dyDescent="0.25">
      <c r="A390" t="str">
        <f>+_xlfn.CONCAT(Info_Camas[[#This Row],[Bloque]],Info_Camas[[#This Row],[Lado]],Info_Camas[[#This Row],[Cama]])</f>
        <v>02A103</v>
      </c>
      <c r="B390" t="s">
        <v>739</v>
      </c>
      <c r="C390" t="s">
        <v>20</v>
      </c>
      <c r="D390" t="s">
        <v>15</v>
      </c>
      <c r="E390" t="s">
        <v>105</v>
      </c>
      <c r="F390" t="s">
        <v>272</v>
      </c>
      <c r="G390">
        <v>59.063000000000002</v>
      </c>
      <c r="H390" s="9">
        <v>10</v>
      </c>
      <c r="I390" s="9">
        <v>210</v>
      </c>
      <c r="J390" s="6">
        <f>IFERROR(Info_Camas[[#This Row],[Lineas]]/Info_Camas[[#This Row],[Cortinas]],"Pendiente")</f>
        <v>21</v>
      </c>
    </row>
    <row r="391" spans="1:10" hidden="1" x14ac:dyDescent="0.25">
      <c r="A391" t="str">
        <f>+_xlfn.CONCAT(Info_Camas[[#This Row],[Bloque]],Info_Camas[[#This Row],[Lado]],Info_Camas[[#This Row],[Cama]])</f>
        <v>02B103</v>
      </c>
      <c r="B391" t="s">
        <v>739</v>
      </c>
      <c r="C391" t="s">
        <v>20</v>
      </c>
      <c r="D391" t="s">
        <v>21</v>
      </c>
      <c r="E391" t="s">
        <v>105</v>
      </c>
      <c r="F391" t="s">
        <v>272</v>
      </c>
      <c r="G391">
        <v>59.063000000000002</v>
      </c>
      <c r="H391" s="9">
        <v>10</v>
      </c>
      <c r="I391" s="9">
        <v>207</v>
      </c>
      <c r="J391" s="6">
        <f>IFERROR(Info_Camas[[#This Row],[Lineas]]/Info_Camas[[#This Row],[Cortinas]],"Pendiente")</f>
        <v>20.7</v>
      </c>
    </row>
    <row r="392" spans="1:10" hidden="1" x14ac:dyDescent="0.25">
      <c r="A392" t="str">
        <f>+_xlfn.CONCAT(Info_Camas[[#This Row],[Bloque]],Info_Camas[[#This Row],[Lado]],Info_Camas[[#This Row],[Cama]])</f>
        <v>02A104</v>
      </c>
      <c r="B392" t="s">
        <v>739</v>
      </c>
      <c r="C392" t="s">
        <v>20</v>
      </c>
      <c r="D392" t="s">
        <v>15</v>
      </c>
      <c r="E392" t="s">
        <v>105</v>
      </c>
      <c r="F392" t="s">
        <v>274</v>
      </c>
      <c r="G392">
        <v>59.063000000000002</v>
      </c>
      <c r="H392" s="9">
        <v>10</v>
      </c>
      <c r="I392" s="9">
        <v>212</v>
      </c>
      <c r="J392" s="6">
        <f>IFERROR(Info_Camas[[#This Row],[Lineas]]/Info_Camas[[#This Row],[Cortinas]],"Pendiente")</f>
        <v>21.2</v>
      </c>
    </row>
    <row r="393" spans="1:10" hidden="1" x14ac:dyDescent="0.25">
      <c r="A393" t="str">
        <f>+_xlfn.CONCAT(Info_Camas[[#This Row],[Bloque]],Info_Camas[[#This Row],[Lado]],Info_Camas[[#This Row],[Cama]])</f>
        <v>02B104</v>
      </c>
      <c r="B393" t="s">
        <v>739</v>
      </c>
      <c r="C393" t="s">
        <v>20</v>
      </c>
      <c r="D393" t="s">
        <v>21</v>
      </c>
      <c r="E393" t="s">
        <v>105</v>
      </c>
      <c r="F393" t="s">
        <v>274</v>
      </c>
      <c r="G393">
        <v>59.063000000000002</v>
      </c>
      <c r="H393" s="9">
        <v>10</v>
      </c>
      <c r="I393" s="9">
        <v>208</v>
      </c>
      <c r="J393" s="6">
        <f>IFERROR(Info_Camas[[#This Row],[Lineas]]/Info_Camas[[#This Row],[Cortinas]],"Pendiente")</f>
        <v>20.8</v>
      </c>
    </row>
    <row r="394" spans="1:10" hidden="1" x14ac:dyDescent="0.25">
      <c r="A394" t="str">
        <f>+_xlfn.CONCAT(Info_Camas[[#This Row],[Bloque]],Info_Camas[[#This Row],[Lado]],Info_Camas[[#This Row],[Cama]])</f>
        <v>02A105</v>
      </c>
      <c r="B394" t="s">
        <v>739</v>
      </c>
      <c r="C394" t="s">
        <v>20</v>
      </c>
      <c r="D394" t="s">
        <v>15</v>
      </c>
      <c r="E394" t="s">
        <v>108</v>
      </c>
      <c r="F394" t="s">
        <v>276</v>
      </c>
      <c r="G394">
        <v>59.063000000000002</v>
      </c>
      <c r="H394" s="9">
        <v>10</v>
      </c>
      <c r="I394" s="9">
        <v>209</v>
      </c>
      <c r="J394" s="6">
        <f>IFERROR(Info_Camas[[#This Row],[Lineas]]/Info_Camas[[#This Row],[Cortinas]],"Pendiente")</f>
        <v>20.9</v>
      </c>
    </row>
    <row r="395" spans="1:10" hidden="1" x14ac:dyDescent="0.25">
      <c r="A395" t="str">
        <f>+_xlfn.CONCAT(Info_Camas[[#This Row],[Bloque]],Info_Camas[[#This Row],[Lado]],Info_Camas[[#This Row],[Cama]])</f>
        <v>02B105</v>
      </c>
      <c r="B395" t="s">
        <v>739</v>
      </c>
      <c r="C395" t="s">
        <v>20</v>
      </c>
      <c r="D395" t="s">
        <v>21</v>
      </c>
      <c r="E395" t="s">
        <v>108</v>
      </c>
      <c r="F395" t="s">
        <v>276</v>
      </c>
      <c r="G395">
        <v>59.063000000000002</v>
      </c>
      <c r="H395" s="9">
        <v>10</v>
      </c>
      <c r="I395" s="9">
        <v>207</v>
      </c>
      <c r="J395" s="6">
        <f>IFERROR(Info_Camas[[#This Row],[Lineas]]/Info_Camas[[#This Row],[Cortinas]],"Pendiente")</f>
        <v>20.7</v>
      </c>
    </row>
    <row r="396" spans="1:10" hidden="1" x14ac:dyDescent="0.25">
      <c r="A396" t="str">
        <f>+_xlfn.CONCAT(Info_Camas[[#This Row],[Bloque]],Info_Camas[[#This Row],[Lado]],Info_Camas[[#This Row],[Cama]])</f>
        <v>02A106</v>
      </c>
      <c r="B396" t="s">
        <v>739</v>
      </c>
      <c r="C396" t="s">
        <v>20</v>
      </c>
      <c r="D396" t="s">
        <v>15</v>
      </c>
      <c r="E396" t="s">
        <v>108</v>
      </c>
      <c r="F396" t="s">
        <v>278</v>
      </c>
      <c r="G396">
        <v>59.063000000000002</v>
      </c>
      <c r="H396" s="9">
        <v>10</v>
      </c>
      <c r="I396" s="9">
        <v>210</v>
      </c>
      <c r="J396" s="6">
        <f>IFERROR(Info_Camas[[#This Row],[Lineas]]/Info_Camas[[#This Row],[Cortinas]],"Pendiente")</f>
        <v>21</v>
      </c>
    </row>
    <row r="397" spans="1:10" hidden="1" x14ac:dyDescent="0.25">
      <c r="A397" t="str">
        <f>+_xlfn.CONCAT(Info_Camas[[#This Row],[Bloque]],Info_Camas[[#This Row],[Lado]],Info_Camas[[#This Row],[Cama]])</f>
        <v>02B106</v>
      </c>
      <c r="B397" t="s">
        <v>739</v>
      </c>
      <c r="C397" t="s">
        <v>20</v>
      </c>
      <c r="D397" t="s">
        <v>21</v>
      </c>
      <c r="E397" t="s">
        <v>108</v>
      </c>
      <c r="F397" t="s">
        <v>278</v>
      </c>
      <c r="G397">
        <v>59.063000000000002</v>
      </c>
      <c r="H397" s="9">
        <v>10</v>
      </c>
      <c r="I397" s="9">
        <v>209</v>
      </c>
      <c r="J397" s="6">
        <f>IFERROR(Info_Camas[[#This Row],[Lineas]]/Info_Camas[[#This Row],[Cortinas]],"Pendiente")</f>
        <v>20.9</v>
      </c>
    </row>
    <row r="398" spans="1:10" hidden="1" x14ac:dyDescent="0.25">
      <c r="A398" t="str">
        <f>+_xlfn.CONCAT(Info_Camas[[#This Row],[Bloque]],Info_Camas[[#This Row],[Lado]],Info_Camas[[#This Row],[Cama]])</f>
        <v>02A107</v>
      </c>
      <c r="B398" t="s">
        <v>739</v>
      </c>
      <c r="C398" t="s">
        <v>20</v>
      </c>
      <c r="D398" t="s">
        <v>15</v>
      </c>
      <c r="E398" t="s">
        <v>108</v>
      </c>
      <c r="F398" t="s">
        <v>280</v>
      </c>
      <c r="G398">
        <v>59.063000000000002</v>
      </c>
      <c r="H398" s="9">
        <v>10</v>
      </c>
      <c r="I398" s="9">
        <v>209</v>
      </c>
      <c r="J398" s="6">
        <f>IFERROR(Info_Camas[[#This Row],[Lineas]]/Info_Camas[[#This Row],[Cortinas]],"Pendiente")</f>
        <v>20.9</v>
      </c>
    </row>
    <row r="399" spans="1:10" hidden="1" x14ac:dyDescent="0.25">
      <c r="A399" t="str">
        <f>+_xlfn.CONCAT(Info_Camas[[#This Row],[Bloque]],Info_Camas[[#This Row],[Lado]],Info_Camas[[#This Row],[Cama]])</f>
        <v>02B107</v>
      </c>
      <c r="B399" t="s">
        <v>739</v>
      </c>
      <c r="C399" t="s">
        <v>20</v>
      </c>
      <c r="D399" t="s">
        <v>21</v>
      </c>
      <c r="E399" t="s">
        <v>108</v>
      </c>
      <c r="F399" t="s">
        <v>280</v>
      </c>
      <c r="G399">
        <v>51.386899999999997</v>
      </c>
      <c r="H399" s="9">
        <v>10</v>
      </c>
      <c r="I399" s="9">
        <v>207</v>
      </c>
      <c r="J399" s="6">
        <f>IFERROR(Info_Camas[[#This Row],[Lineas]]/Info_Camas[[#This Row],[Cortinas]],"Pendiente")</f>
        <v>20.7</v>
      </c>
    </row>
    <row r="400" spans="1:10" hidden="1" x14ac:dyDescent="0.25">
      <c r="A400" t="str">
        <f>+_xlfn.CONCAT(Info_Camas[[#This Row],[Bloque]],Info_Camas[[#This Row],[Lado]],Info_Camas[[#This Row],[Cama]])</f>
        <v>02A108</v>
      </c>
      <c r="B400" t="s">
        <v>739</v>
      </c>
      <c r="C400" t="s">
        <v>20</v>
      </c>
      <c r="D400" t="s">
        <v>15</v>
      </c>
      <c r="E400" t="s">
        <v>108</v>
      </c>
      <c r="F400" t="s">
        <v>282</v>
      </c>
      <c r="G400">
        <v>59.063000000000002</v>
      </c>
      <c r="H400" s="9">
        <v>10</v>
      </c>
      <c r="I400" s="9">
        <v>211</v>
      </c>
      <c r="J400" s="6">
        <f>IFERROR(Info_Camas[[#This Row],[Lineas]]/Info_Camas[[#This Row],[Cortinas]],"Pendiente")</f>
        <v>21.1</v>
      </c>
    </row>
    <row r="401" spans="1:10" hidden="1" x14ac:dyDescent="0.25">
      <c r="A401" t="str">
        <f>+_xlfn.CONCAT(Info_Camas[[#This Row],[Bloque]],Info_Camas[[#This Row],[Lado]],Info_Camas[[#This Row],[Cama]])</f>
        <v>02B108</v>
      </c>
      <c r="B401" t="s">
        <v>739</v>
      </c>
      <c r="C401" t="s">
        <v>20</v>
      </c>
      <c r="D401" t="s">
        <v>21</v>
      </c>
      <c r="E401" t="s">
        <v>108</v>
      </c>
      <c r="F401" t="s">
        <v>282</v>
      </c>
      <c r="G401">
        <v>59.063000000000002</v>
      </c>
      <c r="H401" s="9">
        <v>10</v>
      </c>
      <c r="I401" s="9">
        <v>203</v>
      </c>
      <c r="J401" s="6">
        <f>IFERROR(Info_Camas[[#This Row],[Lineas]]/Info_Camas[[#This Row],[Cortinas]],"Pendiente")</f>
        <v>20.3</v>
      </c>
    </row>
    <row r="402" spans="1:10" hidden="1" x14ac:dyDescent="0.25">
      <c r="A402" t="str">
        <f>+_xlfn.CONCAT(Info_Camas[[#This Row],[Bloque]],Info_Camas[[#This Row],[Lado]],Info_Camas[[#This Row],[Cama]])</f>
        <v>03A017</v>
      </c>
      <c r="B402" t="s">
        <v>739</v>
      </c>
      <c r="C402" t="s">
        <v>26</v>
      </c>
      <c r="D402" t="s">
        <v>15</v>
      </c>
      <c r="E402" t="s">
        <v>34</v>
      </c>
      <c r="F402" t="s">
        <v>78</v>
      </c>
      <c r="G402">
        <v>27.180399999999999</v>
      </c>
      <c r="J402" s="6" t="str">
        <f>IFERROR(Info_Camas[[#This Row],[Lineas]]/Info_Camas[[#This Row],[Cortinas]],"Pendiente")</f>
        <v>Pendiente</v>
      </c>
    </row>
    <row r="403" spans="1:10" hidden="1" x14ac:dyDescent="0.25">
      <c r="A403" t="str">
        <f>+_xlfn.CONCAT(Info_Camas[[#This Row],[Bloque]],Info_Camas[[#This Row],[Lado]],Info_Camas[[#This Row],[Cama]])</f>
        <v>03B017</v>
      </c>
      <c r="B403" t="s">
        <v>739</v>
      </c>
      <c r="C403" t="s">
        <v>26</v>
      </c>
      <c r="D403" t="s">
        <v>21</v>
      </c>
      <c r="E403" t="s">
        <v>34</v>
      </c>
      <c r="F403" t="s">
        <v>78</v>
      </c>
      <c r="G403">
        <v>61.155999999999999</v>
      </c>
      <c r="J403" s="6" t="str">
        <f>IFERROR(Info_Camas[[#This Row],[Lineas]]/Info_Camas[[#This Row],[Cortinas]],"Pendiente")</f>
        <v>Pendiente</v>
      </c>
    </row>
    <row r="404" spans="1:10" hidden="1" x14ac:dyDescent="0.25">
      <c r="A404" t="str">
        <f>+_xlfn.CONCAT(Info_Camas[[#This Row],[Bloque]],Info_Camas[[#This Row],[Lado]],Info_Camas[[#This Row],[Cama]])</f>
        <v>03A018</v>
      </c>
      <c r="B404" t="s">
        <v>739</v>
      </c>
      <c r="C404" t="s">
        <v>26</v>
      </c>
      <c r="D404" t="s">
        <v>15</v>
      </c>
      <c r="E404" t="s">
        <v>34</v>
      </c>
      <c r="F404" t="s">
        <v>81</v>
      </c>
      <c r="G404">
        <v>40.770699999999998</v>
      </c>
      <c r="J404" s="6" t="str">
        <f>IFERROR(Info_Camas[[#This Row],[Lineas]]/Info_Camas[[#This Row],[Cortinas]],"Pendiente")</f>
        <v>Pendiente</v>
      </c>
    </row>
    <row r="405" spans="1:10" hidden="1" x14ac:dyDescent="0.25">
      <c r="A405" t="str">
        <f>+_xlfn.CONCAT(Info_Camas[[#This Row],[Bloque]],Info_Camas[[#This Row],[Lado]],Info_Camas[[#This Row],[Cama]])</f>
        <v>03B018</v>
      </c>
      <c r="B405" t="s">
        <v>739</v>
      </c>
      <c r="C405" t="s">
        <v>26</v>
      </c>
      <c r="D405" t="s">
        <v>21</v>
      </c>
      <c r="E405" t="s">
        <v>34</v>
      </c>
      <c r="F405" t="s">
        <v>81</v>
      </c>
      <c r="G405">
        <v>61.155999999999999</v>
      </c>
      <c r="J405" s="6" t="str">
        <f>IFERROR(Info_Camas[[#This Row],[Lineas]]/Info_Camas[[#This Row],[Cortinas]],"Pendiente")</f>
        <v>Pendiente</v>
      </c>
    </row>
    <row r="406" spans="1:10" hidden="1" x14ac:dyDescent="0.25">
      <c r="A406" t="str">
        <f>+_xlfn.CONCAT(Info_Camas[[#This Row],[Bloque]],Info_Camas[[#This Row],[Lado]],Info_Camas[[#This Row],[Cama]])</f>
        <v>03A019</v>
      </c>
      <c r="B406" t="s">
        <v>739</v>
      </c>
      <c r="C406" t="s">
        <v>26</v>
      </c>
      <c r="D406" t="s">
        <v>15</v>
      </c>
      <c r="E406" t="s">
        <v>34</v>
      </c>
      <c r="F406" t="s">
        <v>84</v>
      </c>
      <c r="G406">
        <v>23.780799999999999</v>
      </c>
      <c r="J406" s="6" t="str">
        <f>IFERROR(Info_Camas[[#This Row],[Lineas]]/Info_Camas[[#This Row],[Cortinas]],"Pendiente")</f>
        <v>Pendiente</v>
      </c>
    </row>
    <row r="407" spans="1:10" hidden="1" x14ac:dyDescent="0.25">
      <c r="A407" t="str">
        <f>+_xlfn.CONCAT(Info_Camas[[#This Row],[Bloque]],Info_Camas[[#This Row],[Lado]],Info_Camas[[#This Row],[Cama]])</f>
        <v>03B019</v>
      </c>
      <c r="B407" t="s">
        <v>739</v>
      </c>
      <c r="C407" t="s">
        <v>26</v>
      </c>
      <c r="D407" t="s">
        <v>21</v>
      </c>
      <c r="E407" t="s">
        <v>34</v>
      </c>
      <c r="F407" t="s">
        <v>84</v>
      </c>
      <c r="G407">
        <v>61.155999999999999</v>
      </c>
      <c r="J407" s="6" t="str">
        <f>IFERROR(Info_Camas[[#This Row],[Lineas]]/Info_Camas[[#This Row],[Cortinas]],"Pendiente")</f>
        <v>Pendiente</v>
      </c>
    </row>
    <row r="408" spans="1:10" hidden="1" x14ac:dyDescent="0.25">
      <c r="A408" t="str">
        <f>+_xlfn.CONCAT(Info_Camas[[#This Row],[Bloque]],Info_Camas[[#This Row],[Lado]],Info_Camas[[#This Row],[Cama]])</f>
        <v>03A020</v>
      </c>
      <c r="B408" t="s">
        <v>739</v>
      </c>
      <c r="C408" t="s">
        <v>26</v>
      </c>
      <c r="D408" t="s">
        <v>15</v>
      </c>
      <c r="E408" t="s">
        <v>34</v>
      </c>
      <c r="F408" t="s">
        <v>87</v>
      </c>
      <c r="G408">
        <v>10.1927</v>
      </c>
      <c r="J408" s="6" t="str">
        <f>IFERROR(Info_Camas[[#This Row],[Lineas]]/Info_Camas[[#This Row],[Cortinas]],"Pendiente")</f>
        <v>Pendiente</v>
      </c>
    </row>
    <row r="409" spans="1:10" hidden="1" x14ac:dyDescent="0.25">
      <c r="A409" t="str">
        <f>+_xlfn.CONCAT(Info_Camas[[#This Row],[Bloque]],Info_Camas[[#This Row],[Lado]],Info_Camas[[#This Row],[Cama]])</f>
        <v>03B020</v>
      </c>
      <c r="B409" t="s">
        <v>739</v>
      </c>
      <c r="C409" t="s">
        <v>26</v>
      </c>
      <c r="D409" t="s">
        <v>21</v>
      </c>
      <c r="E409" t="s">
        <v>34</v>
      </c>
      <c r="F409" t="s">
        <v>87</v>
      </c>
      <c r="G409">
        <v>10.1927</v>
      </c>
      <c r="J409" s="6" t="str">
        <f>IFERROR(Info_Camas[[#This Row],[Lineas]]/Info_Camas[[#This Row],[Cortinas]],"Pendiente")</f>
        <v>Pendiente</v>
      </c>
    </row>
    <row r="410" spans="1:10" hidden="1" x14ac:dyDescent="0.25">
      <c r="A410" t="str">
        <f>+_xlfn.CONCAT(Info_Camas[[#This Row],[Bloque]],Info_Camas[[#This Row],[Lado]],Info_Camas[[#This Row],[Cama]])</f>
        <v>03A021</v>
      </c>
      <c r="B410" t="s">
        <v>739</v>
      </c>
      <c r="C410" t="s">
        <v>26</v>
      </c>
      <c r="D410" t="s">
        <v>15</v>
      </c>
      <c r="E410" t="s">
        <v>39</v>
      </c>
      <c r="F410" t="s">
        <v>90</v>
      </c>
      <c r="G410">
        <v>61.155999999999999</v>
      </c>
      <c r="J410" s="6" t="str">
        <f>IFERROR(Info_Camas[[#This Row],[Lineas]]/Info_Camas[[#This Row],[Cortinas]],"Pendiente")</f>
        <v>Pendiente</v>
      </c>
    </row>
    <row r="411" spans="1:10" hidden="1" x14ac:dyDescent="0.25">
      <c r="A411" t="str">
        <f>+_xlfn.CONCAT(Info_Camas[[#This Row],[Bloque]],Info_Camas[[#This Row],[Lado]],Info_Camas[[#This Row],[Cama]])</f>
        <v>03B021</v>
      </c>
      <c r="B411" t="s">
        <v>739</v>
      </c>
      <c r="C411" t="s">
        <v>26</v>
      </c>
      <c r="D411" t="s">
        <v>21</v>
      </c>
      <c r="E411" t="s">
        <v>39</v>
      </c>
      <c r="F411" t="s">
        <v>90</v>
      </c>
      <c r="G411">
        <v>61.155999999999999</v>
      </c>
      <c r="J411" s="6" t="str">
        <f>IFERROR(Info_Camas[[#This Row],[Lineas]]/Info_Camas[[#This Row],[Cortinas]],"Pendiente")</f>
        <v>Pendiente</v>
      </c>
    </row>
    <row r="412" spans="1:10" hidden="1" x14ac:dyDescent="0.25">
      <c r="A412" t="str">
        <f>+_xlfn.CONCAT(Info_Camas[[#This Row],[Bloque]],Info_Camas[[#This Row],[Lado]],Info_Camas[[#This Row],[Cama]])</f>
        <v>03A022</v>
      </c>
      <c r="B412" t="s">
        <v>739</v>
      </c>
      <c r="C412" t="s">
        <v>26</v>
      </c>
      <c r="D412" t="s">
        <v>15</v>
      </c>
      <c r="E412" t="s">
        <v>39</v>
      </c>
      <c r="F412" t="s">
        <v>94</v>
      </c>
      <c r="G412">
        <v>61.155999999999999</v>
      </c>
      <c r="J412" s="6" t="str">
        <f>IFERROR(Info_Camas[[#This Row],[Lineas]]/Info_Camas[[#This Row],[Cortinas]],"Pendiente")</f>
        <v>Pendiente</v>
      </c>
    </row>
    <row r="413" spans="1:10" hidden="1" x14ac:dyDescent="0.25">
      <c r="A413" t="str">
        <f>+_xlfn.CONCAT(Info_Camas[[#This Row],[Bloque]],Info_Camas[[#This Row],[Lado]],Info_Camas[[#This Row],[Cama]])</f>
        <v>03B022</v>
      </c>
      <c r="B413" t="s">
        <v>739</v>
      </c>
      <c r="C413" t="s">
        <v>26</v>
      </c>
      <c r="D413" t="s">
        <v>21</v>
      </c>
      <c r="E413" t="s">
        <v>39</v>
      </c>
      <c r="F413" t="s">
        <v>94</v>
      </c>
      <c r="G413">
        <v>61.155999999999999</v>
      </c>
      <c r="J413" s="6" t="str">
        <f>IFERROR(Info_Camas[[#This Row],[Lineas]]/Info_Camas[[#This Row],[Cortinas]],"Pendiente")</f>
        <v>Pendiente</v>
      </c>
    </row>
    <row r="414" spans="1:10" hidden="1" x14ac:dyDescent="0.25">
      <c r="A414" t="str">
        <f>+_xlfn.CONCAT(Info_Camas[[#This Row],[Bloque]],Info_Camas[[#This Row],[Lado]],Info_Camas[[#This Row],[Cama]])</f>
        <v>03A023</v>
      </c>
      <c r="B414" t="s">
        <v>739</v>
      </c>
      <c r="C414" t="s">
        <v>26</v>
      </c>
      <c r="D414" t="s">
        <v>15</v>
      </c>
      <c r="E414" t="s">
        <v>39</v>
      </c>
      <c r="F414" t="s">
        <v>97</v>
      </c>
      <c r="G414">
        <v>61.155999999999999</v>
      </c>
      <c r="J414" s="6" t="str">
        <f>IFERROR(Info_Camas[[#This Row],[Lineas]]/Info_Camas[[#This Row],[Cortinas]],"Pendiente")</f>
        <v>Pendiente</v>
      </c>
    </row>
    <row r="415" spans="1:10" hidden="1" x14ac:dyDescent="0.25">
      <c r="A415" t="str">
        <f>+_xlfn.CONCAT(Info_Camas[[#This Row],[Bloque]],Info_Camas[[#This Row],[Lado]],Info_Camas[[#This Row],[Cama]])</f>
        <v>03B023</v>
      </c>
      <c r="B415" t="s">
        <v>739</v>
      </c>
      <c r="C415" t="s">
        <v>26</v>
      </c>
      <c r="D415" t="s">
        <v>21</v>
      </c>
      <c r="E415" t="s">
        <v>39</v>
      </c>
      <c r="F415" t="s">
        <v>97</v>
      </c>
      <c r="G415">
        <v>61.155999999999999</v>
      </c>
      <c r="J415" s="6" t="str">
        <f>IFERROR(Info_Camas[[#This Row],[Lineas]]/Info_Camas[[#This Row],[Cortinas]],"Pendiente")</f>
        <v>Pendiente</v>
      </c>
    </row>
    <row r="416" spans="1:10" hidden="1" x14ac:dyDescent="0.25">
      <c r="A416" t="str">
        <f>+_xlfn.CONCAT(Info_Camas[[#This Row],[Bloque]],Info_Camas[[#This Row],[Lado]],Info_Camas[[#This Row],[Cama]])</f>
        <v>03A024</v>
      </c>
      <c r="B416" t="s">
        <v>739</v>
      </c>
      <c r="C416" t="s">
        <v>26</v>
      </c>
      <c r="D416" t="s">
        <v>15</v>
      </c>
      <c r="E416" t="s">
        <v>39</v>
      </c>
      <c r="F416" t="s">
        <v>100</v>
      </c>
      <c r="G416">
        <v>61.155999999999999</v>
      </c>
      <c r="J416" s="6" t="str">
        <f>IFERROR(Info_Camas[[#This Row],[Lineas]]/Info_Camas[[#This Row],[Cortinas]],"Pendiente")</f>
        <v>Pendiente</v>
      </c>
    </row>
    <row r="417" spans="1:10" hidden="1" x14ac:dyDescent="0.25">
      <c r="A417" t="str">
        <f>+_xlfn.CONCAT(Info_Camas[[#This Row],[Bloque]],Info_Camas[[#This Row],[Lado]],Info_Camas[[#This Row],[Cama]])</f>
        <v>03B024</v>
      </c>
      <c r="B417" t="s">
        <v>739</v>
      </c>
      <c r="C417" t="s">
        <v>26</v>
      </c>
      <c r="D417" t="s">
        <v>21</v>
      </c>
      <c r="E417" t="s">
        <v>39</v>
      </c>
      <c r="F417" t="s">
        <v>100</v>
      </c>
      <c r="G417">
        <v>61.155999999999999</v>
      </c>
      <c r="J417" s="6" t="str">
        <f>IFERROR(Info_Camas[[#This Row],[Lineas]]/Info_Camas[[#This Row],[Cortinas]],"Pendiente")</f>
        <v>Pendiente</v>
      </c>
    </row>
    <row r="418" spans="1:10" hidden="1" x14ac:dyDescent="0.25">
      <c r="A418" t="str">
        <f>+_xlfn.CONCAT(Info_Camas[[#This Row],[Bloque]],Info_Camas[[#This Row],[Lado]],Info_Camas[[#This Row],[Cama]])</f>
        <v>03A025</v>
      </c>
      <c r="B418" t="s">
        <v>739</v>
      </c>
      <c r="C418" t="s">
        <v>26</v>
      </c>
      <c r="D418" t="s">
        <v>15</v>
      </c>
      <c r="E418" t="s">
        <v>42</v>
      </c>
      <c r="F418" t="s">
        <v>103</v>
      </c>
      <c r="G418">
        <v>61.155999999999999</v>
      </c>
      <c r="J418" s="6" t="str">
        <f>IFERROR(Info_Camas[[#This Row],[Lineas]]/Info_Camas[[#This Row],[Cortinas]],"Pendiente")</f>
        <v>Pendiente</v>
      </c>
    </row>
    <row r="419" spans="1:10" hidden="1" x14ac:dyDescent="0.25">
      <c r="A419" t="str">
        <f>+_xlfn.CONCAT(Info_Camas[[#This Row],[Bloque]],Info_Camas[[#This Row],[Lado]],Info_Camas[[#This Row],[Cama]])</f>
        <v>03B025</v>
      </c>
      <c r="B419" t="s">
        <v>739</v>
      </c>
      <c r="C419" t="s">
        <v>26</v>
      </c>
      <c r="D419" t="s">
        <v>21</v>
      </c>
      <c r="E419" t="s">
        <v>42</v>
      </c>
      <c r="F419" t="s">
        <v>103</v>
      </c>
      <c r="G419">
        <v>61.155999999999999</v>
      </c>
      <c r="J419" s="6" t="str">
        <f>IFERROR(Info_Camas[[#This Row],[Lineas]]/Info_Camas[[#This Row],[Cortinas]],"Pendiente")</f>
        <v>Pendiente</v>
      </c>
    </row>
    <row r="420" spans="1:10" hidden="1" x14ac:dyDescent="0.25">
      <c r="A420" t="str">
        <f>+_xlfn.CONCAT(Info_Camas[[#This Row],[Bloque]],Info_Camas[[#This Row],[Lado]],Info_Camas[[#This Row],[Cama]])</f>
        <v>03A026</v>
      </c>
      <c r="B420" t="s">
        <v>739</v>
      </c>
      <c r="C420" t="s">
        <v>26</v>
      </c>
      <c r="D420" t="s">
        <v>15</v>
      </c>
      <c r="E420" t="s">
        <v>42</v>
      </c>
      <c r="F420" t="s">
        <v>106</v>
      </c>
      <c r="G420">
        <v>61.155999999999999</v>
      </c>
      <c r="J420" s="6" t="str">
        <f>IFERROR(Info_Camas[[#This Row],[Lineas]]/Info_Camas[[#This Row],[Cortinas]],"Pendiente")</f>
        <v>Pendiente</v>
      </c>
    </row>
    <row r="421" spans="1:10" hidden="1" x14ac:dyDescent="0.25">
      <c r="A421" t="str">
        <f>+_xlfn.CONCAT(Info_Camas[[#This Row],[Bloque]],Info_Camas[[#This Row],[Lado]],Info_Camas[[#This Row],[Cama]])</f>
        <v>03B026</v>
      </c>
      <c r="B421" t="s">
        <v>739</v>
      </c>
      <c r="C421" t="s">
        <v>26</v>
      </c>
      <c r="D421" t="s">
        <v>21</v>
      </c>
      <c r="E421" t="s">
        <v>42</v>
      </c>
      <c r="F421" t="s">
        <v>106</v>
      </c>
      <c r="G421">
        <v>61.155999999999999</v>
      </c>
      <c r="J421" s="6" t="str">
        <f>IFERROR(Info_Camas[[#This Row],[Lineas]]/Info_Camas[[#This Row],[Cortinas]],"Pendiente")</f>
        <v>Pendiente</v>
      </c>
    </row>
    <row r="422" spans="1:10" hidden="1" x14ac:dyDescent="0.25">
      <c r="A422" t="str">
        <f>+_xlfn.CONCAT(Info_Camas[[#This Row],[Bloque]],Info_Camas[[#This Row],[Lado]],Info_Camas[[#This Row],[Cama]])</f>
        <v>03A027</v>
      </c>
      <c r="B422" t="s">
        <v>739</v>
      </c>
      <c r="C422" t="s">
        <v>26</v>
      </c>
      <c r="D422" t="s">
        <v>15</v>
      </c>
      <c r="E422" t="s">
        <v>42</v>
      </c>
      <c r="F422" t="s">
        <v>109</v>
      </c>
      <c r="G422">
        <v>61.155999999999999</v>
      </c>
      <c r="J422" s="6" t="str">
        <f>IFERROR(Info_Camas[[#This Row],[Lineas]]/Info_Camas[[#This Row],[Cortinas]],"Pendiente")</f>
        <v>Pendiente</v>
      </c>
    </row>
    <row r="423" spans="1:10" hidden="1" x14ac:dyDescent="0.25">
      <c r="A423" t="str">
        <f>+_xlfn.CONCAT(Info_Camas[[#This Row],[Bloque]],Info_Camas[[#This Row],[Lado]],Info_Camas[[#This Row],[Cama]])</f>
        <v>03B027</v>
      </c>
      <c r="B423" t="s">
        <v>739</v>
      </c>
      <c r="C423" t="s">
        <v>26</v>
      </c>
      <c r="D423" t="s">
        <v>21</v>
      </c>
      <c r="E423" t="s">
        <v>42</v>
      </c>
      <c r="F423" t="s">
        <v>109</v>
      </c>
      <c r="G423">
        <v>61.155999999999999</v>
      </c>
      <c r="J423" s="6" t="str">
        <f>IFERROR(Info_Camas[[#This Row],[Lineas]]/Info_Camas[[#This Row],[Cortinas]],"Pendiente")</f>
        <v>Pendiente</v>
      </c>
    </row>
    <row r="424" spans="1:10" hidden="1" x14ac:dyDescent="0.25">
      <c r="A424" t="str">
        <f>+_xlfn.CONCAT(Info_Camas[[#This Row],[Bloque]],Info_Camas[[#This Row],[Lado]],Info_Camas[[#This Row],[Cama]])</f>
        <v>03A028</v>
      </c>
      <c r="B424" t="s">
        <v>739</v>
      </c>
      <c r="C424" t="s">
        <v>26</v>
      </c>
      <c r="D424" t="s">
        <v>15</v>
      </c>
      <c r="E424" t="s">
        <v>42</v>
      </c>
      <c r="F424" t="s">
        <v>112</v>
      </c>
      <c r="G424">
        <v>61.155999999999999</v>
      </c>
      <c r="J424" s="6" t="str">
        <f>IFERROR(Info_Camas[[#This Row],[Lineas]]/Info_Camas[[#This Row],[Cortinas]],"Pendiente")</f>
        <v>Pendiente</v>
      </c>
    </row>
    <row r="425" spans="1:10" hidden="1" x14ac:dyDescent="0.25">
      <c r="A425" t="str">
        <f>+_xlfn.CONCAT(Info_Camas[[#This Row],[Bloque]],Info_Camas[[#This Row],[Lado]],Info_Camas[[#This Row],[Cama]])</f>
        <v>03B028</v>
      </c>
      <c r="B425" t="s">
        <v>739</v>
      </c>
      <c r="C425" t="s">
        <v>26</v>
      </c>
      <c r="D425" t="s">
        <v>21</v>
      </c>
      <c r="E425" t="s">
        <v>42</v>
      </c>
      <c r="F425" t="s">
        <v>112</v>
      </c>
      <c r="G425">
        <v>61.155999999999999</v>
      </c>
      <c r="J425" s="6" t="str">
        <f>IFERROR(Info_Camas[[#This Row],[Lineas]]/Info_Camas[[#This Row],[Cortinas]],"Pendiente")</f>
        <v>Pendiente</v>
      </c>
    </row>
    <row r="426" spans="1:10" hidden="1" x14ac:dyDescent="0.25">
      <c r="A426" t="str">
        <f>+_xlfn.CONCAT(Info_Camas[[#This Row],[Bloque]],Info_Camas[[#This Row],[Lado]],Info_Camas[[#This Row],[Cama]])</f>
        <v>03A029</v>
      </c>
      <c r="B426" t="s">
        <v>739</v>
      </c>
      <c r="C426" t="s">
        <v>26</v>
      </c>
      <c r="D426" t="s">
        <v>15</v>
      </c>
      <c r="E426" t="s">
        <v>46</v>
      </c>
      <c r="F426" t="s">
        <v>115</v>
      </c>
      <c r="G426">
        <v>61.155999999999999</v>
      </c>
      <c r="J426" s="6" t="str">
        <f>IFERROR(Info_Camas[[#This Row],[Lineas]]/Info_Camas[[#This Row],[Cortinas]],"Pendiente")</f>
        <v>Pendiente</v>
      </c>
    </row>
    <row r="427" spans="1:10" hidden="1" x14ac:dyDescent="0.25">
      <c r="A427" t="str">
        <f>+_xlfn.CONCAT(Info_Camas[[#This Row],[Bloque]],Info_Camas[[#This Row],[Lado]],Info_Camas[[#This Row],[Cama]])</f>
        <v>03B029</v>
      </c>
      <c r="B427" t="s">
        <v>739</v>
      </c>
      <c r="C427" t="s">
        <v>26</v>
      </c>
      <c r="D427" t="s">
        <v>21</v>
      </c>
      <c r="E427" t="s">
        <v>46</v>
      </c>
      <c r="F427" t="s">
        <v>115</v>
      </c>
      <c r="G427">
        <v>61.155999999999999</v>
      </c>
      <c r="J427" s="6" t="str">
        <f>IFERROR(Info_Camas[[#This Row],[Lineas]]/Info_Camas[[#This Row],[Cortinas]],"Pendiente")</f>
        <v>Pendiente</v>
      </c>
    </row>
    <row r="428" spans="1:10" hidden="1" x14ac:dyDescent="0.25">
      <c r="A428" t="str">
        <f>+_xlfn.CONCAT(Info_Camas[[#This Row],[Bloque]],Info_Camas[[#This Row],[Lado]],Info_Camas[[#This Row],[Cama]])</f>
        <v>03A030</v>
      </c>
      <c r="B428" t="s">
        <v>739</v>
      </c>
      <c r="C428" t="s">
        <v>26</v>
      </c>
      <c r="D428" t="s">
        <v>15</v>
      </c>
      <c r="E428" t="s">
        <v>46</v>
      </c>
      <c r="F428" t="s">
        <v>118</v>
      </c>
      <c r="G428">
        <v>61.155999999999999</v>
      </c>
      <c r="J428" s="6" t="str">
        <f>IFERROR(Info_Camas[[#This Row],[Lineas]]/Info_Camas[[#This Row],[Cortinas]],"Pendiente")</f>
        <v>Pendiente</v>
      </c>
    </row>
    <row r="429" spans="1:10" hidden="1" x14ac:dyDescent="0.25">
      <c r="A429" t="str">
        <f>+_xlfn.CONCAT(Info_Camas[[#This Row],[Bloque]],Info_Camas[[#This Row],[Lado]],Info_Camas[[#This Row],[Cama]])</f>
        <v>03B030</v>
      </c>
      <c r="B429" t="s">
        <v>739</v>
      </c>
      <c r="C429" t="s">
        <v>26</v>
      </c>
      <c r="D429" t="s">
        <v>21</v>
      </c>
      <c r="E429" t="s">
        <v>46</v>
      </c>
      <c r="F429" t="s">
        <v>118</v>
      </c>
      <c r="G429">
        <v>61.155999999999999</v>
      </c>
      <c r="J429" s="6" t="str">
        <f>IFERROR(Info_Camas[[#This Row],[Lineas]]/Info_Camas[[#This Row],[Cortinas]],"Pendiente")</f>
        <v>Pendiente</v>
      </c>
    </row>
    <row r="430" spans="1:10" hidden="1" x14ac:dyDescent="0.25">
      <c r="A430" t="str">
        <f>+_xlfn.CONCAT(Info_Camas[[#This Row],[Bloque]],Info_Camas[[#This Row],[Lado]],Info_Camas[[#This Row],[Cama]])</f>
        <v>03A031</v>
      </c>
      <c r="B430" t="s">
        <v>739</v>
      </c>
      <c r="C430" t="s">
        <v>26</v>
      </c>
      <c r="D430" t="s">
        <v>15</v>
      </c>
      <c r="E430" t="s">
        <v>46</v>
      </c>
      <c r="F430" t="s">
        <v>121</v>
      </c>
      <c r="G430">
        <v>61.155999999999999</v>
      </c>
      <c r="J430" s="6" t="str">
        <f>IFERROR(Info_Camas[[#This Row],[Lineas]]/Info_Camas[[#This Row],[Cortinas]],"Pendiente")</f>
        <v>Pendiente</v>
      </c>
    </row>
    <row r="431" spans="1:10" hidden="1" x14ac:dyDescent="0.25">
      <c r="A431" t="str">
        <f>+_xlfn.CONCAT(Info_Camas[[#This Row],[Bloque]],Info_Camas[[#This Row],[Lado]],Info_Camas[[#This Row],[Cama]])</f>
        <v>03B031</v>
      </c>
      <c r="B431" t="s">
        <v>739</v>
      </c>
      <c r="C431" t="s">
        <v>26</v>
      </c>
      <c r="D431" t="s">
        <v>21</v>
      </c>
      <c r="E431" t="s">
        <v>46</v>
      </c>
      <c r="F431" t="s">
        <v>121</v>
      </c>
      <c r="G431">
        <v>61.155999999999999</v>
      </c>
      <c r="J431" s="6" t="str">
        <f>IFERROR(Info_Camas[[#This Row],[Lineas]]/Info_Camas[[#This Row],[Cortinas]],"Pendiente")</f>
        <v>Pendiente</v>
      </c>
    </row>
    <row r="432" spans="1:10" hidden="1" x14ac:dyDescent="0.25">
      <c r="A432" t="str">
        <f>+_xlfn.CONCAT(Info_Camas[[#This Row],[Bloque]],Info_Camas[[#This Row],[Lado]],Info_Camas[[#This Row],[Cama]])</f>
        <v>03A032</v>
      </c>
      <c r="B432" t="s">
        <v>739</v>
      </c>
      <c r="C432" t="s">
        <v>26</v>
      </c>
      <c r="D432" t="s">
        <v>15</v>
      </c>
      <c r="E432" t="s">
        <v>46</v>
      </c>
      <c r="F432" t="s">
        <v>124</v>
      </c>
      <c r="G432">
        <v>61.155999999999999</v>
      </c>
      <c r="J432" s="6" t="str">
        <f>IFERROR(Info_Camas[[#This Row],[Lineas]]/Info_Camas[[#This Row],[Cortinas]],"Pendiente")</f>
        <v>Pendiente</v>
      </c>
    </row>
    <row r="433" spans="1:10" hidden="1" x14ac:dyDescent="0.25">
      <c r="A433" t="str">
        <f>+_xlfn.CONCAT(Info_Camas[[#This Row],[Bloque]],Info_Camas[[#This Row],[Lado]],Info_Camas[[#This Row],[Cama]])</f>
        <v>03B032</v>
      </c>
      <c r="B433" t="s">
        <v>739</v>
      </c>
      <c r="C433" t="s">
        <v>26</v>
      </c>
      <c r="D433" t="s">
        <v>21</v>
      </c>
      <c r="E433" t="s">
        <v>46</v>
      </c>
      <c r="F433" t="s">
        <v>124</v>
      </c>
      <c r="G433">
        <v>61.155999999999999</v>
      </c>
      <c r="J433" s="6" t="str">
        <f>IFERROR(Info_Camas[[#This Row],[Lineas]]/Info_Camas[[#This Row],[Cortinas]],"Pendiente")</f>
        <v>Pendiente</v>
      </c>
    </row>
    <row r="434" spans="1:10" hidden="1" x14ac:dyDescent="0.25">
      <c r="A434" t="str">
        <f>+_xlfn.CONCAT(Info_Camas[[#This Row],[Bloque]],Info_Camas[[#This Row],[Lado]],Info_Camas[[#This Row],[Cama]])</f>
        <v>03A033</v>
      </c>
      <c r="B434" t="s">
        <v>739</v>
      </c>
      <c r="C434" t="s">
        <v>26</v>
      </c>
      <c r="D434" t="s">
        <v>15</v>
      </c>
      <c r="E434" t="s">
        <v>51</v>
      </c>
      <c r="F434" t="s">
        <v>126</v>
      </c>
      <c r="G434">
        <v>28.267700000000001</v>
      </c>
      <c r="J434" s="6" t="str">
        <f>IFERROR(Info_Camas[[#This Row],[Lineas]]/Info_Camas[[#This Row],[Cortinas]],"Pendiente")</f>
        <v>Pendiente</v>
      </c>
    </row>
    <row r="435" spans="1:10" hidden="1" x14ac:dyDescent="0.25">
      <c r="A435" t="str">
        <f>+_xlfn.CONCAT(Info_Camas[[#This Row],[Bloque]],Info_Camas[[#This Row],[Lado]],Info_Camas[[#This Row],[Cama]])</f>
        <v>03B033</v>
      </c>
      <c r="B435" t="s">
        <v>739</v>
      </c>
      <c r="C435" t="s">
        <v>26</v>
      </c>
      <c r="D435" t="s">
        <v>21</v>
      </c>
      <c r="E435" t="s">
        <v>51</v>
      </c>
      <c r="F435" t="s">
        <v>126</v>
      </c>
      <c r="G435">
        <v>61.155999999999999</v>
      </c>
      <c r="J435" s="6" t="str">
        <f>IFERROR(Info_Camas[[#This Row],[Lineas]]/Info_Camas[[#This Row],[Cortinas]],"Pendiente")</f>
        <v>Pendiente</v>
      </c>
    </row>
    <row r="436" spans="1:10" hidden="1" x14ac:dyDescent="0.25">
      <c r="A436" t="str">
        <f>+_xlfn.CONCAT(Info_Camas[[#This Row],[Bloque]],Info_Camas[[#This Row],[Lado]],Info_Camas[[#This Row],[Cama]])</f>
        <v>03A034</v>
      </c>
      <c r="B436" t="s">
        <v>739</v>
      </c>
      <c r="C436" t="s">
        <v>26</v>
      </c>
      <c r="D436" t="s">
        <v>15</v>
      </c>
      <c r="E436" t="s">
        <v>51</v>
      </c>
      <c r="F436" t="s">
        <v>128</v>
      </c>
      <c r="G436">
        <v>61.155999999999999</v>
      </c>
      <c r="J436" s="6" t="str">
        <f>IFERROR(Info_Camas[[#This Row],[Lineas]]/Info_Camas[[#This Row],[Cortinas]],"Pendiente")</f>
        <v>Pendiente</v>
      </c>
    </row>
    <row r="437" spans="1:10" hidden="1" x14ac:dyDescent="0.25">
      <c r="A437" t="str">
        <f>+_xlfn.CONCAT(Info_Camas[[#This Row],[Bloque]],Info_Camas[[#This Row],[Lado]],Info_Camas[[#This Row],[Cama]])</f>
        <v>03B034</v>
      </c>
      <c r="B437" t="s">
        <v>739</v>
      </c>
      <c r="C437" t="s">
        <v>26</v>
      </c>
      <c r="D437" t="s">
        <v>21</v>
      </c>
      <c r="E437" t="s">
        <v>51</v>
      </c>
      <c r="F437" t="s">
        <v>128</v>
      </c>
      <c r="G437">
        <v>61.155999999999999</v>
      </c>
      <c r="J437" s="6" t="str">
        <f>IFERROR(Info_Camas[[#This Row],[Lineas]]/Info_Camas[[#This Row],[Cortinas]],"Pendiente")</f>
        <v>Pendiente</v>
      </c>
    </row>
    <row r="438" spans="1:10" hidden="1" x14ac:dyDescent="0.25">
      <c r="A438" t="str">
        <f>+_xlfn.CONCAT(Info_Camas[[#This Row],[Bloque]],Info_Camas[[#This Row],[Lado]],Info_Camas[[#This Row],[Cama]])</f>
        <v>03A035</v>
      </c>
      <c r="B438" t="s">
        <v>739</v>
      </c>
      <c r="C438" t="s">
        <v>26</v>
      </c>
      <c r="D438" t="s">
        <v>15</v>
      </c>
      <c r="E438" t="s">
        <v>51</v>
      </c>
      <c r="F438" t="s">
        <v>130</v>
      </c>
      <c r="G438">
        <v>61.155999999999999</v>
      </c>
      <c r="J438" s="6" t="str">
        <f>IFERROR(Info_Camas[[#This Row],[Lineas]]/Info_Camas[[#This Row],[Cortinas]],"Pendiente")</f>
        <v>Pendiente</v>
      </c>
    </row>
    <row r="439" spans="1:10" hidden="1" x14ac:dyDescent="0.25">
      <c r="A439" t="str">
        <f>+_xlfn.CONCAT(Info_Camas[[#This Row],[Bloque]],Info_Camas[[#This Row],[Lado]],Info_Camas[[#This Row],[Cama]])</f>
        <v>03B035</v>
      </c>
      <c r="B439" t="s">
        <v>739</v>
      </c>
      <c r="C439" t="s">
        <v>26</v>
      </c>
      <c r="D439" t="s">
        <v>21</v>
      </c>
      <c r="E439" t="s">
        <v>51</v>
      </c>
      <c r="F439" t="s">
        <v>130</v>
      </c>
      <c r="G439">
        <v>61.155999999999999</v>
      </c>
      <c r="J439" s="6" t="str">
        <f>IFERROR(Info_Camas[[#This Row],[Lineas]]/Info_Camas[[#This Row],[Cortinas]],"Pendiente")</f>
        <v>Pendiente</v>
      </c>
    </row>
    <row r="440" spans="1:10" hidden="1" x14ac:dyDescent="0.25">
      <c r="A440" t="str">
        <f>+_xlfn.CONCAT(Info_Camas[[#This Row],[Bloque]],Info_Camas[[#This Row],[Lado]],Info_Camas[[#This Row],[Cama]])</f>
        <v>03A036</v>
      </c>
      <c r="B440" t="s">
        <v>739</v>
      </c>
      <c r="C440" t="s">
        <v>26</v>
      </c>
      <c r="D440" t="s">
        <v>15</v>
      </c>
      <c r="E440" t="s">
        <v>51</v>
      </c>
      <c r="F440" t="s">
        <v>132</v>
      </c>
      <c r="G440">
        <v>61.155999999999999</v>
      </c>
      <c r="J440" s="6" t="str">
        <f>IFERROR(Info_Camas[[#This Row],[Lineas]]/Info_Camas[[#This Row],[Cortinas]],"Pendiente")</f>
        <v>Pendiente</v>
      </c>
    </row>
    <row r="441" spans="1:10" hidden="1" x14ac:dyDescent="0.25">
      <c r="A441" t="str">
        <f>+_xlfn.CONCAT(Info_Camas[[#This Row],[Bloque]],Info_Camas[[#This Row],[Lado]],Info_Camas[[#This Row],[Cama]])</f>
        <v>03B036</v>
      </c>
      <c r="B441" t="s">
        <v>739</v>
      </c>
      <c r="C441" t="s">
        <v>26</v>
      </c>
      <c r="D441" t="s">
        <v>21</v>
      </c>
      <c r="E441" t="s">
        <v>51</v>
      </c>
      <c r="F441" t="s">
        <v>132</v>
      </c>
      <c r="G441">
        <v>30.577999999999999</v>
      </c>
      <c r="J441" s="6" t="str">
        <f>IFERROR(Info_Camas[[#This Row],[Lineas]]/Info_Camas[[#This Row],[Cortinas]],"Pendiente")</f>
        <v>Pendiente</v>
      </c>
    </row>
    <row r="442" spans="1:10" hidden="1" x14ac:dyDescent="0.25">
      <c r="A442" t="str">
        <f>+_xlfn.CONCAT(Info_Camas[[#This Row],[Bloque]],Info_Camas[[#This Row],[Lado]],Info_Camas[[#This Row],[Cama]])</f>
        <v>03A037</v>
      </c>
      <c r="B442" t="s">
        <v>739</v>
      </c>
      <c r="C442" t="s">
        <v>26</v>
      </c>
      <c r="D442" t="s">
        <v>15</v>
      </c>
      <c r="E442" t="s">
        <v>54</v>
      </c>
      <c r="F442" t="s">
        <v>134</v>
      </c>
      <c r="G442">
        <v>61.155999999999999</v>
      </c>
      <c r="J442" s="6" t="str">
        <f>IFERROR(Info_Camas[[#This Row],[Lineas]]/Info_Camas[[#This Row],[Cortinas]],"Pendiente")</f>
        <v>Pendiente</v>
      </c>
    </row>
    <row r="443" spans="1:10" hidden="1" x14ac:dyDescent="0.25">
      <c r="A443" t="str">
        <f>+_xlfn.CONCAT(Info_Camas[[#This Row],[Bloque]],Info_Camas[[#This Row],[Lado]],Info_Camas[[#This Row],[Cama]])</f>
        <v>03B037</v>
      </c>
      <c r="B443" t="s">
        <v>739</v>
      </c>
      <c r="C443" t="s">
        <v>26</v>
      </c>
      <c r="D443" t="s">
        <v>21</v>
      </c>
      <c r="E443" t="s">
        <v>54</v>
      </c>
      <c r="F443" t="s">
        <v>134</v>
      </c>
      <c r="G443">
        <v>61.155999999999999</v>
      </c>
      <c r="J443" s="6" t="str">
        <f>IFERROR(Info_Camas[[#This Row],[Lineas]]/Info_Camas[[#This Row],[Cortinas]],"Pendiente")</f>
        <v>Pendiente</v>
      </c>
    </row>
    <row r="444" spans="1:10" hidden="1" x14ac:dyDescent="0.25">
      <c r="A444" t="str">
        <f>+_xlfn.CONCAT(Info_Camas[[#This Row],[Bloque]],Info_Camas[[#This Row],[Lado]],Info_Camas[[#This Row],[Cama]])</f>
        <v>03A038</v>
      </c>
      <c r="B444" t="s">
        <v>739</v>
      </c>
      <c r="C444" t="s">
        <v>26</v>
      </c>
      <c r="D444" t="s">
        <v>15</v>
      </c>
      <c r="E444" t="s">
        <v>54</v>
      </c>
      <c r="F444" t="s">
        <v>137</v>
      </c>
      <c r="G444">
        <v>61.155999999999999</v>
      </c>
      <c r="J444" s="6" t="str">
        <f>IFERROR(Info_Camas[[#This Row],[Lineas]]/Info_Camas[[#This Row],[Cortinas]],"Pendiente")</f>
        <v>Pendiente</v>
      </c>
    </row>
    <row r="445" spans="1:10" hidden="1" x14ac:dyDescent="0.25">
      <c r="A445" t="str">
        <f>+_xlfn.CONCAT(Info_Camas[[#This Row],[Bloque]],Info_Camas[[#This Row],[Lado]],Info_Camas[[#This Row],[Cama]])</f>
        <v>03B038</v>
      </c>
      <c r="B445" t="s">
        <v>739</v>
      </c>
      <c r="C445" t="s">
        <v>26</v>
      </c>
      <c r="D445" t="s">
        <v>21</v>
      </c>
      <c r="E445" t="s">
        <v>54</v>
      </c>
      <c r="F445" t="s">
        <v>137</v>
      </c>
      <c r="G445">
        <v>61.155999999999999</v>
      </c>
      <c r="J445" s="6" t="str">
        <f>IFERROR(Info_Camas[[#This Row],[Lineas]]/Info_Camas[[#This Row],[Cortinas]],"Pendiente")</f>
        <v>Pendiente</v>
      </c>
    </row>
    <row r="446" spans="1:10" hidden="1" x14ac:dyDescent="0.25">
      <c r="A446" t="str">
        <f>+_xlfn.CONCAT(Info_Camas[[#This Row],[Bloque]],Info_Camas[[#This Row],[Lado]],Info_Camas[[#This Row],[Cama]])</f>
        <v>03A039</v>
      </c>
      <c r="B446" t="s">
        <v>739</v>
      </c>
      <c r="C446" t="s">
        <v>26</v>
      </c>
      <c r="D446" t="s">
        <v>15</v>
      </c>
      <c r="E446" t="s">
        <v>54</v>
      </c>
      <c r="F446" t="s">
        <v>139</v>
      </c>
      <c r="G446">
        <v>61.155999999999999</v>
      </c>
      <c r="J446" s="6" t="str">
        <f>IFERROR(Info_Camas[[#This Row],[Lineas]]/Info_Camas[[#This Row],[Cortinas]],"Pendiente")</f>
        <v>Pendiente</v>
      </c>
    </row>
    <row r="447" spans="1:10" hidden="1" x14ac:dyDescent="0.25">
      <c r="A447" t="str">
        <f>+_xlfn.CONCAT(Info_Camas[[#This Row],[Bloque]],Info_Camas[[#This Row],[Lado]],Info_Camas[[#This Row],[Cama]])</f>
        <v>03B039</v>
      </c>
      <c r="B447" t="s">
        <v>739</v>
      </c>
      <c r="C447" t="s">
        <v>26</v>
      </c>
      <c r="D447" t="s">
        <v>21</v>
      </c>
      <c r="E447" t="s">
        <v>54</v>
      </c>
      <c r="F447" t="s">
        <v>139</v>
      </c>
      <c r="G447">
        <v>61.155999999999999</v>
      </c>
      <c r="J447" s="6" t="str">
        <f>IFERROR(Info_Camas[[#This Row],[Lineas]]/Info_Camas[[#This Row],[Cortinas]],"Pendiente")</f>
        <v>Pendiente</v>
      </c>
    </row>
    <row r="448" spans="1:10" hidden="1" x14ac:dyDescent="0.25">
      <c r="A448" t="str">
        <f>+_xlfn.CONCAT(Info_Camas[[#This Row],[Bloque]],Info_Camas[[#This Row],[Lado]],Info_Camas[[#This Row],[Cama]])</f>
        <v>03A040</v>
      </c>
      <c r="B448" t="s">
        <v>739</v>
      </c>
      <c r="C448" t="s">
        <v>26</v>
      </c>
      <c r="D448" t="s">
        <v>15</v>
      </c>
      <c r="E448" t="s">
        <v>54</v>
      </c>
      <c r="F448" t="s">
        <v>141</v>
      </c>
      <c r="G448">
        <v>61.155999999999999</v>
      </c>
      <c r="J448" s="6" t="str">
        <f>IFERROR(Info_Camas[[#This Row],[Lineas]]/Info_Camas[[#This Row],[Cortinas]],"Pendiente")</f>
        <v>Pendiente</v>
      </c>
    </row>
    <row r="449" spans="1:10" hidden="1" x14ac:dyDescent="0.25">
      <c r="A449" t="str">
        <f>+_xlfn.CONCAT(Info_Camas[[#This Row],[Bloque]],Info_Camas[[#This Row],[Lado]],Info_Camas[[#This Row],[Cama]])</f>
        <v>03B040</v>
      </c>
      <c r="B449" t="s">
        <v>739</v>
      </c>
      <c r="C449" t="s">
        <v>26</v>
      </c>
      <c r="D449" t="s">
        <v>21</v>
      </c>
      <c r="E449" t="s">
        <v>54</v>
      </c>
      <c r="F449" t="s">
        <v>141</v>
      </c>
      <c r="G449">
        <v>61.155999999999999</v>
      </c>
      <c r="J449" s="6" t="str">
        <f>IFERROR(Info_Camas[[#This Row],[Lineas]]/Info_Camas[[#This Row],[Cortinas]],"Pendiente")</f>
        <v>Pendiente</v>
      </c>
    </row>
    <row r="450" spans="1:10" hidden="1" x14ac:dyDescent="0.25">
      <c r="A450" t="str">
        <f>+_xlfn.CONCAT(Info_Camas[[#This Row],[Bloque]],Info_Camas[[#This Row],[Lado]],Info_Camas[[#This Row],[Cama]])</f>
        <v>03A041</v>
      </c>
      <c r="B450" t="s">
        <v>739</v>
      </c>
      <c r="C450" t="s">
        <v>26</v>
      </c>
      <c r="D450" t="s">
        <v>15</v>
      </c>
      <c r="E450" t="s">
        <v>57</v>
      </c>
      <c r="F450" t="s">
        <v>143</v>
      </c>
      <c r="G450">
        <v>61.155999999999999</v>
      </c>
      <c r="J450" s="6" t="str">
        <f>IFERROR(Info_Camas[[#This Row],[Lineas]]/Info_Camas[[#This Row],[Cortinas]],"Pendiente")</f>
        <v>Pendiente</v>
      </c>
    </row>
    <row r="451" spans="1:10" hidden="1" x14ac:dyDescent="0.25">
      <c r="A451" t="str">
        <f>+_xlfn.CONCAT(Info_Camas[[#This Row],[Bloque]],Info_Camas[[#This Row],[Lado]],Info_Camas[[#This Row],[Cama]])</f>
        <v>03B041</v>
      </c>
      <c r="B451" t="s">
        <v>739</v>
      </c>
      <c r="C451" t="s">
        <v>26</v>
      </c>
      <c r="D451" t="s">
        <v>21</v>
      </c>
      <c r="E451" t="s">
        <v>57</v>
      </c>
      <c r="F451" t="s">
        <v>143</v>
      </c>
      <c r="G451">
        <v>61.155999999999999</v>
      </c>
      <c r="J451" s="6" t="str">
        <f>IFERROR(Info_Camas[[#This Row],[Lineas]]/Info_Camas[[#This Row],[Cortinas]],"Pendiente")</f>
        <v>Pendiente</v>
      </c>
    </row>
    <row r="452" spans="1:10" hidden="1" x14ac:dyDescent="0.25">
      <c r="A452" t="str">
        <f>+_xlfn.CONCAT(Info_Camas[[#This Row],[Bloque]],Info_Camas[[#This Row],[Lado]],Info_Camas[[#This Row],[Cama]])</f>
        <v>03A042</v>
      </c>
      <c r="B452" t="s">
        <v>739</v>
      </c>
      <c r="C452" t="s">
        <v>26</v>
      </c>
      <c r="D452" t="s">
        <v>15</v>
      </c>
      <c r="E452" t="s">
        <v>57</v>
      </c>
      <c r="F452" t="s">
        <v>145</v>
      </c>
      <c r="G452">
        <v>61.155999999999999</v>
      </c>
      <c r="J452" s="6" t="str">
        <f>IFERROR(Info_Camas[[#This Row],[Lineas]]/Info_Camas[[#This Row],[Cortinas]],"Pendiente")</f>
        <v>Pendiente</v>
      </c>
    </row>
    <row r="453" spans="1:10" hidden="1" x14ac:dyDescent="0.25">
      <c r="A453" t="str">
        <f>+_xlfn.CONCAT(Info_Camas[[#This Row],[Bloque]],Info_Camas[[#This Row],[Lado]],Info_Camas[[#This Row],[Cama]])</f>
        <v>03B042</v>
      </c>
      <c r="B453" t="s">
        <v>739</v>
      </c>
      <c r="C453" t="s">
        <v>26</v>
      </c>
      <c r="D453" t="s">
        <v>21</v>
      </c>
      <c r="E453" t="s">
        <v>57</v>
      </c>
      <c r="F453" t="s">
        <v>145</v>
      </c>
      <c r="G453">
        <v>40.770699999999998</v>
      </c>
      <c r="J453" s="6" t="str">
        <f>IFERROR(Info_Camas[[#This Row],[Lineas]]/Info_Camas[[#This Row],[Cortinas]],"Pendiente")</f>
        <v>Pendiente</v>
      </c>
    </row>
    <row r="454" spans="1:10" hidden="1" x14ac:dyDescent="0.25">
      <c r="A454" t="str">
        <f>+_xlfn.CONCAT(Info_Camas[[#This Row],[Bloque]],Info_Camas[[#This Row],[Lado]],Info_Camas[[#This Row],[Cama]])</f>
        <v>03A043</v>
      </c>
      <c r="B454" t="s">
        <v>739</v>
      </c>
      <c r="C454" t="s">
        <v>26</v>
      </c>
      <c r="D454" t="s">
        <v>15</v>
      </c>
      <c r="E454" t="s">
        <v>57</v>
      </c>
      <c r="F454" t="s">
        <v>147</v>
      </c>
      <c r="G454">
        <v>23.784199999999998</v>
      </c>
      <c r="J454" s="6" t="str">
        <f>IFERROR(Info_Camas[[#This Row],[Lineas]]/Info_Camas[[#This Row],[Cortinas]],"Pendiente")</f>
        <v>Pendiente</v>
      </c>
    </row>
    <row r="455" spans="1:10" hidden="1" x14ac:dyDescent="0.25">
      <c r="A455" t="str">
        <f>+_xlfn.CONCAT(Info_Camas[[#This Row],[Bloque]],Info_Camas[[#This Row],[Lado]],Info_Camas[[#This Row],[Cama]])</f>
        <v>03B043</v>
      </c>
      <c r="B455" t="s">
        <v>739</v>
      </c>
      <c r="C455" t="s">
        <v>26</v>
      </c>
      <c r="D455" t="s">
        <v>21</v>
      </c>
      <c r="E455" t="s">
        <v>57</v>
      </c>
      <c r="F455" t="s">
        <v>147</v>
      </c>
      <c r="G455">
        <v>61.155999999999999</v>
      </c>
      <c r="J455" s="6" t="str">
        <f>IFERROR(Info_Camas[[#This Row],[Lineas]]/Info_Camas[[#This Row],[Cortinas]],"Pendiente")</f>
        <v>Pendiente</v>
      </c>
    </row>
    <row r="456" spans="1:10" hidden="1" x14ac:dyDescent="0.25">
      <c r="A456" t="str">
        <f>+_xlfn.CONCAT(Info_Camas[[#This Row],[Bloque]],Info_Camas[[#This Row],[Lado]],Info_Camas[[#This Row],[Cama]])</f>
        <v>03A044</v>
      </c>
      <c r="B456" t="s">
        <v>739</v>
      </c>
      <c r="C456" t="s">
        <v>26</v>
      </c>
      <c r="D456" t="s">
        <v>15</v>
      </c>
      <c r="E456" t="s">
        <v>57</v>
      </c>
      <c r="F456" t="s">
        <v>149</v>
      </c>
      <c r="G456">
        <v>61.155999999999999</v>
      </c>
      <c r="J456" s="6" t="str">
        <f>IFERROR(Info_Camas[[#This Row],[Lineas]]/Info_Camas[[#This Row],[Cortinas]],"Pendiente")</f>
        <v>Pendiente</v>
      </c>
    </row>
    <row r="457" spans="1:10" hidden="1" x14ac:dyDescent="0.25">
      <c r="A457" t="str">
        <f>+_xlfn.CONCAT(Info_Camas[[#This Row],[Bloque]],Info_Camas[[#This Row],[Lado]],Info_Camas[[#This Row],[Cama]])</f>
        <v>03B044</v>
      </c>
      <c r="B457" t="s">
        <v>739</v>
      </c>
      <c r="C457" t="s">
        <v>26</v>
      </c>
      <c r="D457" t="s">
        <v>21</v>
      </c>
      <c r="E457" t="s">
        <v>57</v>
      </c>
      <c r="F457" t="s">
        <v>149</v>
      </c>
      <c r="G457">
        <v>61.155999999999999</v>
      </c>
      <c r="J457" s="6" t="str">
        <f>IFERROR(Info_Camas[[#This Row],[Lineas]]/Info_Camas[[#This Row],[Cortinas]],"Pendiente")</f>
        <v>Pendiente</v>
      </c>
    </row>
    <row r="458" spans="1:10" hidden="1" x14ac:dyDescent="0.25">
      <c r="A458" t="str">
        <f>+_xlfn.CONCAT(Info_Camas[[#This Row],[Bloque]],Info_Camas[[#This Row],[Lado]],Info_Camas[[#This Row],[Cama]])</f>
        <v>03A045</v>
      </c>
      <c r="B458" t="s">
        <v>739</v>
      </c>
      <c r="C458" t="s">
        <v>26</v>
      </c>
      <c r="D458" t="s">
        <v>15</v>
      </c>
      <c r="E458" t="s">
        <v>61</v>
      </c>
      <c r="F458" t="s">
        <v>151</v>
      </c>
      <c r="G458">
        <v>61.155999999999999</v>
      </c>
      <c r="J458" s="6" t="str">
        <f>IFERROR(Info_Camas[[#This Row],[Lineas]]/Info_Camas[[#This Row],[Cortinas]],"Pendiente")</f>
        <v>Pendiente</v>
      </c>
    </row>
    <row r="459" spans="1:10" hidden="1" x14ac:dyDescent="0.25">
      <c r="A459" t="str">
        <f>+_xlfn.CONCAT(Info_Camas[[#This Row],[Bloque]],Info_Camas[[#This Row],[Lado]],Info_Camas[[#This Row],[Cama]])</f>
        <v>03B045</v>
      </c>
      <c r="B459" t="s">
        <v>739</v>
      </c>
      <c r="C459" t="s">
        <v>26</v>
      </c>
      <c r="D459" t="s">
        <v>21</v>
      </c>
      <c r="E459" t="s">
        <v>61</v>
      </c>
      <c r="F459" t="s">
        <v>151</v>
      </c>
      <c r="G459">
        <v>61.155999999999999</v>
      </c>
      <c r="J459" s="6" t="str">
        <f>IFERROR(Info_Camas[[#This Row],[Lineas]]/Info_Camas[[#This Row],[Cortinas]],"Pendiente")</f>
        <v>Pendiente</v>
      </c>
    </row>
    <row r="460" spans="1:10" hidden="1" x14ac:dyDescent="0.25">
      <c r="A460" t="str">
        <f>+_xlfn.CONCAT(Info_Camas[[#This Row],[Bloque]],Info_Camas[[#This Row],[Lado]],Info_Camas[[#This Row],[Cama]])</f>
        <v>03A046</v>
      </c>
      <c r="B460" t="s">
        <v>739</v>
      </c>
      <c r="C460" t="s">
        <v>26</v>
      </c>
      <c r="D460" t="s">
        <v>15</v>
      </c>
      <c r="E460" t="s">
        <v>61</v>
      </c>
      <c r="F460" t="s">
        <v>153</v>
      </c>
      <c r="G460">
        <v>30.097300000000001</v>
      </c>
      <c r="J460" s="6" t="str">
        <f>IFERROR(Info_Camas[[#This Row],[Lineas]]/Info_Camas[[#This Row],[Cortinas]],"Pendiente")</f>
        <v>Pendiente</v>
      </c>
    </row>
    <row r="461" spans="1:10" hidden="1" x14ac:dyDescent="0.25">
      <c r="A461" t="str">
        <f>+_xlfn.CONCAT(Info_Camas[[#This Row],[Bloque]],Info_Camas[[#This Row],[Lado]],Info_Camas[[#This Row],[Cama]])</f>
        <v>03B046</v>
      </c>
      <c r="B461" t="s">
        <v>739</v>
      </c>
      <c r="C461" t="s">
        <v>26</v>
      </c>
      <c r="D461" t="s">
        <v>21</v>
      </c>
      <c r="E461" t="s">
        <v>61</v>
      </c>
      <c r="F461" t="s">
        <v>153</v>
      </c>
      <c r="G461">
        <v>41.586100000000002</v>
      </c>
      <c r="J461" s="6" t="str">
        <f>IFERROR(Info_Camas[[#This Row],[Lineas]]/Info_Camas[[#This Row],[Cortinas]],"Pendiente")</f>
        <v>Pendiente</v>
      </c>
    </row>
    <row r="462" spans="1:10" hidden="1" x14ac:dyDescent="0.25">
      <c r="A462" t="str">
        <f>+_xlfn.CONCAT(Info_Camas[[#This Row],[Bloque]],Info_Camas[[#This Row],[Lado]],Info_Camas[[#This Row],[Cama]])</f>
        <v>03A047</v>
      </c>
      <c r="B462" t="s">
        <v>739</v>
      </c>
      <c r="C462" t="s">
        <v>26</v>
      </c>
      <c r="D462" t="s">
        <v>15</v>
      </c>
      <c r="E462" t="s">
        <v>61</v>
      </c>
      <c r="F462" t="s">
        <v>155</v>
      </c>
      <c r="G462">
        <v>61.155999999999999</v>
      </c>
      <c r="J462" s="6" t="str">
        <f>IFERROR(Info_Camas[[#This Row],[Lineas]]/Info_Camas[[#This Row],[Cortinas]],"Pendiente")</f>
        <v>Pendiente</v>
      </c>
    </row>
    <row r="463" spans="1:10" hidden="1" x14ac:dyDescent="0.25">
      <c r="A463" t="str">
        <f>+_xlfn.CONCAT(Info_Camas[[#This Row],[Bloque]],Info_Camas[[#This Row],[Lado]],Info_Camas[[#This Row],[Cama]])</f>
        <v>03B047</v>
      </c>
      <c r="B463" t="s">
        <v>739</v>
      </c>
      <c r="C463" t="s">
        <v>26</v>
      </c>
      <c r="D463" t="s">
        <v>21</v>
      </c>
      <c r="E463" t="s">
        <v>61</v>
      </c>
      <c r="F463" t="s">
        <v>155</v>
      </c>
      <c r="G463">
        <v>61.155999999999999</v>
      </c>
      <c r="J463" s="6" t="str">
        <f>IFERROR(Info_Camas[[#This Row],[Lineas]]/Info_Camas[[#This Row],[Cortinas]],"Pendiente")</f>
        <v>Pendiente</v>
      </c>
    </row>
    <row r="464" spans="1:10" hidden="1" x14ac:dyDescent="0.25">
      <c r="A464" t="str">
        <f>+_xlfn.CONCAT(Info_Camas[[#This Row],[Bloque]],Info_Camas[[#This Row],[Lado]],Info_Camas[[#This Row],[Cama]])</f>
        <v>03A048</v>
      </c>
      <c r="B464" t="s">
        <v>739</v>
      </c>
      <c r="C464" t="s">
        <v>26</v>
      </c>
      <c r="D464" t="s">
        <v>15</v>
      </c>
      <c r="E464" t="s">
        <v>61</v>
      </c>
      <c r="F464" t="s">
        <v>158</v>
      </c>
      <c r="G464">
        <v>3.4028999999999998</v>
      </c>
      <c r="J464" s="6" t="str">
        <f>IFERROR(Info_Camas[[#This Row],[Lineas]]/Info_Camas[[#This Row],[Cortinas]],"Pendiente")</f>
        <v>Pendiente</v>
      </c>
    </row>
    <row r="465" spans="1:10" hidden="1" x14ac:dyDescent="0.25">
      <c r="A465" t="str">
        <f>+_xlfn.CONCAT(Info_Camas[[#This Row],[Bloque]],Info_Camas[[#This Row],[Lado]],Info_Camas[[#This Row],[Cama]])</f>
        <v>03B048</v>
      </c>
      <c r="B465" t="s">
        <v>739</v>
      </c>
      <c r="C465" t="s">
        <v>26</v>
      </c>
      <c r="D465" t="s">
        <v>21</v>
      </c>
      <c r="E465" t="s">
        <v>61</v>
      </c>
      <c r="F465" t="s">
        <v>158</v>
      </c>
      <c r="G465">
        <v>61.155999999999999</v>
      </c>
      <c r="J465" s="6" t="str">
        <f>IFERROR(Info_Camas[[#This Row],[Lineas]]/Info_Camas[[#This Row],[Cortinas]],"Pendiente")</f>
        <v>Pendiente</v>
      </c>
    </row>
    <row r="466" spans="1:10" hidden="1" x14ac:dyDescent="0.25">
      <c r="A466" t="str">
        <f>+_xlfn.CONCAT(Info_Camas[[#This Row],[Bloque]],Info_Camas[[#This Row],[Lado]],Info_Camas[[#This Row],[Cama]])</f>
        <v>03A049</v>
      </c>
      <c r="B466" t="s">
        <v>739</v>
      </c>
      <c r="C466" t="s">
        <v>26</v>
      </c>
      <c r="D466" t="s">
        <v>15</v>
      </c>
      <c r="E466" t="s">
        <v>64</v>
      </c>
      <c r="F466" t="s">
        <v>161</v>
      </c>
      <c r="G466">
        <v>61.155999999999999</v>
      </c>
      <c r="J466" s="6" t="str">
        <f>IFERROR(Info_Camas[[#This Row],[Lineas]]/Info_Camas[[#This Row],[Cortinas]],"Pendiente")</f>
        <v>Pendiente</v>
      </c>
    </row>
    <row r="467" spans="1:10" hidden="1" x14ac:dyDescent="0.25">
      <c r="A467" t="str">
        <f>+_xlfn.CONCAT(Info_Camas[[#This Row],[Bloque]],Info_Camas[[#This Row],[Lado]],Info_Camas[[#This Row],[Cama]])</f>
        <v>03B049</v>
      </c>
      <c r="B467" t="s">
        <v>739</v>
      </c>
      <c r="C467" t="s">
        <v>26</v>
      </c>
      <c r="D467" t="s">
        <v>21</v>
      </c>
      <c r="E467" t="s">
        <v>64</v>
      </c>
      <c r="F467" t="s">
        <v>161</v>
      </c>
      <c r="G467">
        <v>61.155999999999999</v>
      </c>
      <c r="J467" s="6" t="str">
        <f>IFERROR(Info_Camas[[#This Row],[Lineas]]/Info_Camas[[#This Row],[Cortinas]],"Pendiente")</f>
        <v>Pendiente</v>
      </c>
    </row>
    <row r="468" spans="1:10" hidden="1" x14ac:dyDescent="0.25">
      <c r="A468" t="str">
        <f>+_xlfn.CONCAT(Info_Camas[[#This Row],[Bloque]],Info_Camas[[#This Row],[Lado]],Info_Camas[[#This Row],[Cama]])</f>
        <v>03A050</v>
      </c>
      <c r="B468" t="s">
        <v>739</v>
      </c>
      <c r="C468" t="s">
        <v>26</v>
      </c>
      <c r="D468" t="s">
        <v>15</v>
      </c>
      <c r="E468" t="s">
        <v>64</v>
      </c>
      <c r="F468" t="s">
        <v>163</v>
      </c>
      <c r="G468">
        <v>61.155999999999999</v>
      </c>
      <c r="J468" s="6" t="str">
        <f>IFERROR(Info_Camas[[#This Row],[Lineas]]/Info_Camas[[#This Row],[Cortinas]],"Pendiente")</f>
        <v>Pendiente</v>
      </c>
    </row>
    <row r="469" spans="1:10" hidden="1" x14ac:dyDescent="0.25">
      <c r="A469" t="str">
        <f>+_xlfn.CONCAT(Info_Camas[[#This Row],[Bloque]],Info_Camas[[#This Row],[Lado]],Info_Camas[[#This Row],[Cama]])</f>
        <v>03B050</v>
      </c>
      <c r="B469" t="s">
        <v>739</v>
      </c>
      <c r="C469" t="s">
        <v>26</v>
      </c>
      <c r="D469" t="s">
        <v>21</v>
      </c>
      <c r="E469" t="s">
        <v>64</v>
      </c>
      <c r="F469" t="s">
        <v>163</v>
      </c>
      <c r="G469">
        <v>61.155999999999999</v>
      </c>
      <c r="J469" s="6" t="str">
        <f>IFERROR(Info_Camas[[#This Row],[Lineas]]/Info_Camas[[#This Row],[Cortinas]],"Pendiente")</f>
        <v>Pendiente</v>
      </c>
    </row>
    <row r="470" spans="1:10" hidden="1" x14ac:dyDescent="0.25">
      <c r="A470" t="str">
        <f>+_xlfn.CONCAT(Info_Camas[[#This Row],[Bloque]],Info_Camas[[#This Row],[Lado]],Info_Camas[[#This Row],[Cama]])</f>
        <v>03A051</v>
      </c>
      <c r="B470" t="s">
        <v>739</v>
      </c>
      <c r="C470" t="s">
        <v>26</v>
      </c>
      <c r="D470" t="s">
        <v>15</v>
      </c>
      <c r="E470" t="s">
        <v>64</v>
      </c>
      <c r="F470" t="s">
        <v>165</v>
      </c>
      <c r="G470">
        <v>61.155999999999999</v>
      </c>
      <c r="J470" s="6" t="str">
        <f>IFERROR(Info_Camas[[#This Row],[Lineas]]/Info_Camas[[#This Row],[Cortinas]],"Pendiente")</f>
        <v>Pendiente</v>
      </c>
    </row>
    <row r="471" spans="1:10" hidden="1" x14ac:dyDescent="0.25">
      <c r="A471" t="str">
        <f>+_xlfn.CONCAT(Info_Camas[[#This Row],[Bloque]],Info_Camas[[#This Row],[Lado]],Info_Camas[[#This Row],[Cama]])</f>
        <v>03B051</v>
      </c>
      <c r="B471" t="s">
        <v>739</v>
      </c>
      <c r="C471" t="s">
        <v>26</v>
      </c>
      <c r="D471" t="s">
        <v>21</v>
      </c>
      <c r="E471" t="s">
        <v>64</v>
      </c>
      <c r="F471" t="s">
        <v>165</v>
      </c>
      <c r="G471">
        <v>61.155999999999999</v>
      </c>
      <c r="J471" s="6" t="str">
        <f>IFERROR(Info_Camas[[#This Row],[Lineas]]/Info_Camas[[#This Row],[Cortinas]],"Pendiente")</f>
        <v>Pendiente</v>
      </c>
    </row>
    <row r="472" spans="1:10" hidden="1" x14ac:dyDescent="0.25">
      <c r="A472" t="str">
        <f>+_xlfn.CONCAT(Info_Camas[[#This Row],[Bloque]],Info_Camas[[#This Row],[Lado]],Info_Camas[[#This Row],[Cama]])</f>
        <v>03A052</v>
      </c>
      <c r="B472" t="s">
        <v>739</v>
      </c>
      <c r="C472" t="s">
        <v>26</v>
      </c>
      <c r="D472" t="s">
        <v>15</v>
      </c>
      <c r="E472" t="s">
        <v>64</v>
      </c>
      <c r="F472" t="s">
        <v>167</v>
      </c>
      <c r="G472">
        <v>61.155999999999999</v>
      </c>
      <c r="J472" s="6" t="str">
        <f>IFERROR(Info_Camas[[#This Row],[Lineas]]/Info_Camas[[#This Row],[Cortinas]],"Pendiente")</f>
        <v>Pendiente</v>
      </c>
    </row>
    <row r="473" spans="1:10" hidden="1" x14ac:dyDescent="0.25">
      <c r="A473" t="str">
        <f>+_xlfn.CONCAT(Info_Camas[[#This Row],[Bloque]],Info_Camas[[#This Row],[Lado]],Info_Camas[[#This Row],[Cama]])</f>
        <v>03B052</v>
      </c>
      <c r="B473" t="s">
        <v>739</v>
      </c>
      <c r="C473" t="s">
        <v>26</v>
      </c>
      <c r="D473" t="s">
        <v>21</v>
      </c>
      <c r="E473" t="s">
        <v>64</v>
      </c>
      <c r="F473" t="s">
        <v>167</v>
      </c>
      <c r="G473">
        <v>61.155999999999999</v>
      </c>
      <c r="J473" s="6" t="str">
        <f>IFERROR(Info_Camas[[#This Row],[Lineas]]/Info_Camas[[#This Row],[Cortinas]],"Pendiente")</f>
        <v>Pendiente</v>
      </c>
    </row>
    <row r="474" spans="1:10" hidden="1" x14ac:dyDescent="0.25">
      <c r="A474" t="str">
        <f>+_xlfn.CONCAT(Info_Camas[[#This Row],[Bloque]],Info_Camas[[#This Row],[Lado]],Info_Camas[[#This Row],[Cama]])</f>
        <v>03A053</v>
      </c>
      <c r="B474" t="s">
        <v>739</v>
      </c>
      <c r="C474" t="s">
        <v>26</v>
      </c>
      <c r="D474" t="s">
        <v>15</v>
      </c>
      <c r="E474" t="s">
        <v>67</v>
      </c>
      <c r="F474" t="s">
        <v>169</v>
      </c>
      <c r="G474">
        <v>61.155999999999999</v>
      </c>
      <c r="J474" s="6" t="str">
        <f>IFERROR(Info_Camas[[#This Row],[Lineas]]/Info_Camas[[#This Row],[Cortinas]],"Pendiente")</f>
        <v>Pendiente</v>
      </c>
    </row>
    <row r="475" spans="1:10" hidden="1" x14ac:dyDescent="0.25">
      <c r="A475" t="str">
        <f>+_xlfn.CONCAT(Info_Camas[[#This Row],[Bloque]],Info_Camas[[#This Row],[Lado]],Info_Camas[[#This Row],[Cama]])</f>
        <v>03B053</v>
      </c>
      <c r="B475" t="s">
        <v>739</v>
      </c>
      <c r="C475" t="s">
        <v>26</v>
      </c>
      <c r="D475" t="s">
        <v>21</v>
      </c>
      <c r="E475" t="s">
        <v>67</v>
      </c>
      <c r="F475" t="s">
        <v>169</v>
      </c>
      <c r="G475">
        <v>61.155999999999999</v>
      </c>
      <c r="J475" s="6" t="str">
        <f>IFERROR(Info_Camas[[#This Row],[Lineas]]/Info_Camas[[#This Row],[Cortinas]],"Pendiente")</f>
        <v>Pendiente</v>
      </c>
    </row>
    <row r="476" spans="1:10" hidden="1" x14ac:dyDescent="0.25">
      <c r="A476" t="str">
        <f>+_xlfn.CONCAT(Info_Camas[[#This Row],[Bloque]],Info_Camas[[#This Row],[Lado]],Info_Camas[[#This Row],[Cama]])</f>
        <v>03A054</v>
      </c>
      <c r="B476" t="s">
        <v>739</v>
      </c>
      <c r="C476" t="s">
        <v>26</v>
      </c>
      <c r="D476" t="s">
        <v>15</v>
      </c>
      <c r="E476" t="s">
        <v>67</v>
      </c>
      <c r="F476" t="s">
        <v>171</v>
      </c>
      <c r="G476">
        <v>61.155999999999999</v>
      </c>
      <c r="J476" s="6" t="str">
        <f>IFERROR(Info_Camas[[#This Row],[Lineas]]/Info_Camas[[#This Row],[Cortinas]],"Pendiente")</f>
        <v>Pendiente</v>
      </c>
    </row>
    <row r="477" spans="1:10" hidden="1" x14ac:dyDescent="0.25">
      <c r="A477" t="str">
        <f>+_xlfn.CONCAT(Info_Camas[[#This Row],[Bloque]],Info_Camas[[#This Row],[Lado]],Info_Camas[[#This Row],[Cama]])</f>
        <v>03B054</v>
      </c>
      <c r="B477" t="s">
        <v>739</v>
      </c>
      <c r="C477" t="s">
        <v>26</v>
      </c>
      <c r="D477" t="s">
        <v>21</v>
      </c>
      <c r="E477" t="s">
        <v>67</v>
      </c>
      <c r="F477" t="s">
        <v>171</v>
      </c>
      <c r="G477">
        <v>61.155999999999999</v>
      </c>
      <c r="J477" s="6" t="str">
        <f>IFERROR(Info_Camas[[#This Row],[Lineas]]/Info_Camas[[#This Row],[Cortinas]],"Pendiente")</f>
        <v>Pendiente</v>
      </c>
    </row>
    <row r="478" spans="1:10" hidden="1" x14ac:dyDescent="0.25">
      <c r="A478" t="str">
        <f>+_xlfn.CONCAT(Info_Camas[[#This Row],[Bloque]],Info_Camas[[#This Row],[Lado]],Info_Camas[[#This Row],[Cama]])</f>
        <v>03A055</v>
      </c>
      <c r="B478" t="s">
        <v>739</v>
      </c>
      <c r="C478" t="s">
        <v>26</v>
      </c>
      <c r="D478" t="s">
        <v>15</v>
      </c>
      <c r="E478" t="s">
        <v>67</v>
      </c>
      <c r="F478" t="s">
        <v>173</v>
      </c>
      <c r="G478">
        <v>61.155999999999999</v>
      </c>
      <c r="J478" s="6" t="str">
        <f>IFERROR(Info_Camas[[#This Row],[Lineas]]/Info_Camas[[#This Row],[Cortinas]],"Pendiente")</f>
        <v>Pendiente</v>
      </c>
    </row>
    <row r="479" spans="1:10" hidden="1" x14ac:dyDescent="0.25">
      <c r="A479" t="str">
        <f>+_xlfn.CONCAT(Info_Camas[[#This Row],[Bloque]],Info_Camas[[#This Row],[Lado]],Info_Camas[[#This Row],[Cama]])</f>
        <v>03B055</v>
      </c>
      <c r="B479" t="s">
        <v>739</v>
      </c>
      <c r="C479" t="s">
        <v>26</v>
      </c>
      <c r="D479" t="s">
        <v>21</v>
      </c>
      <c r="E479" t="s">
        <v>67</v>
      </c>
      <c r="F479" t="s">
        <v>173</v>
      </c>
      <c r="G479">
        <v>61.155999999999999</v>
      </c>
      <c r="J479" s="6" t="str">
        <f>IFERROR(Info_Camas[[#This Row],[Lineas]]/Info_Camas[[#This Row],[Cortinas]],"Pendiente")</f>
        <v>Pendiente</v>
      </c>
    </row>
    <row r="480" spans="1:10" hidden="1" x14ac:dyDescent="0.25">
      <c r="A480" t="str">
        <f>+_xlfn.CONCAT(Info_Camas[[#This Row],[Bloque]],Info_Camas[[#This Row],[Lado]],Info_Camas[[#This Row],[Cama]])</f>
        <v>03A056</v>
      </c>
      <c r="B480" t="s">
        <v>739</v>
      </c>
      <c r="C480" t="s">
        <v>26</v>
      </c>
      <c r="D480" t="s">
        <v>15</v>
      </c>
      <c r="E480" t="s">
        <v>67</v>
      </c>
      <c r="F480" t="s">
        <v>175</v>
      </c>
      <c r="G480">
        <v>61.155999999999999</v>
      </c>
      <c r="J480" s="6" t="str">
        <f>IFERROR(Info_Camas[[#This Row],[Lineas]]/Info_Camas[[#This Row],[Cortinas]],"Pendiente")</f>
        <v>Pendiente</v>
      </c>
    </row>
    <row r="481" spans="1:10" hidden="1" x14ac:dyDescent="0.25">
      <c r="A481" t="str">
        <f>+_xlfn.CONCAT(Info_Camas[[#This Row],[Bloque]],Info_Camas[[#This Row],[Lado]],Info_Camas[[#This Row],[Cama]])</f>
        <v>03B056</v>
      </c>
      <c r="B481" t="s">
        <v>739</v>
      </c>
      <c r="C481" t="s">
        <v>26</v>
      </c>
      <c r="D481" t="s">
        <v>21</v>
      </c>
      <c r="E481" t="s">
        <v>67</v>
      </c>
      <c r="F481" t="s">
        <v>175</v>
      </c>
      <c r="G481">
        <v>52.744599999999998</v>
      </c>
      <c r="J481" s="6" t="str">
        <f>IFERROR(Info_Camas[[#This Row],[Lineas]]/Info_Camas[[#This Row],[Cortinas]],"Pendiente")</f>
        <v>Pendiente</v>
      </c>
    </row>
    <row r="482" spans="1:10" hidden="1" x14ac:dyDescent="0.25">
      <c r="A482" t="str">
        <f>+_xlfn.CONCAT(Info_Camas[[#This Row],[Bloque]],Info_Camas[[#This Row],[Lado]],Info_Camas[[#This Row],[Cama]])</f>
        <v>03A057</v>
      </c>
      <c r="B482" t="s">
        <v>739</v>
      </c>
      <c r="C482" t="s">
        <v>26</v>
      </c>
      <c r="D482" t="s">
        <v>15</v>
      </c>
      <c r="E482" t="s">
        <v>71</v>
      </c>
      <c r="F482" t="s">
        <v>177</v>
      </c>
      <c r="G482">
        <v>61.155999999999999</v>
      </c>
      <c r="J482" s="6" t="str">
        <f>IFERROR(Info_Camas[[#This Row],[Lineas]]/Info_Camas[[#This Row],[Cortinas]],"Pendiente")</f>
        <v>Pendiente</v>
      </c>
    </row>
    <row r="483" spans="1:10" hidden="1" x14ac:dyDescent="0.25">
      <c r="A483" t="str">
        <f>+_xlfn.CONCAT(Info_Camas[[#This Row],[Bloque]],Info_Camas[[#This Row],[Lado]],Info_Camas[[#This Row],[Cama]])</f>
        <v>03B057</v>
      </c>
      <c r="B483" t="s">
        <v>739</v>
      </c>
      <c r="C483" t="s">
        <v>26</v>
      </c>
      <c r="D483" t="s">
        <v>21</v>
      </c>
      <c r="E483" t="s">
        <v>71</v>
      </c>
      <c r="F483" t="s">
        <v>177</v>
      </c>
      <c r="G483">
        <v>61.155999999999999</v>
      </c>
      <c r="J483" s="6" t="str">
        <f>IFERROR(Info_Camas[[#This Row],[Lineas]]/Info_Camas[[#This Row],[Cortinas]],"Pendiente")</f>
        <v>Pendiente</v>
      </c>
    </row>
    <row r="484" spans="1:10" hidden="1" x14ac:dyDescent="0.25">
      <c r="A484" t="str">
        <f>+_xlfn.CONCAT(Info_Camas[[#This Row],[Bloque]],Info_Camas[[#This Row],[Lado]],Info_Camas[[#This Row],[Cama]])</f>
        <v>03A058</v>
      </c>
      <c r="B484" t="s">
        <v>739</v>
      </c>
      <c r="C484" t="s">
        <v>26</v>
      </c>
      <c r="D484" t="s">
        <v>15</v>
      </c>
      <c r="E484" t="s">
        <v>71</v>
      </c>
      <c r="F484" t="s">
        <v>179</v>
      </c>
      <c r="G484">
        <v>61.155999999999999</v>
      </c>
      <c r="J484" s="6" t="str">
        <f>IFERROR(Info_Camas[[#This Row],[Lineas]]/Info_Camas[[#This Row],[Cortinas]],"Pendiente")</f>
        <v>Pendiente</v>
      </c>
    </row>
    <row r="485" spans="1:10" hidden="1" x14ac:dyDescent="0.25">
      <c r="A485" t="str">
        <f>+_xlfn.CONCAT(Info_Camas[[#This Row],[Bloque]],Info_Camas[[#This Row],[Lado]],Info_Camas[[#This Row],[Cama]])</f>
        <v>03B058</v>
      </c>
      <c r="B485" t="s">
        <v>739</v>
      </c>
      <c r="C485" t="s">
        <v>26</v>
      </c>
      <c r="D485" t="s">
        <v>21</v>
      </c>
      <c r="E485" t="s">
        <v>71</v>
      </c>
      <c r="F485" t="s">
        <v>179</v>
      </c>
      <c r="G485">
        <v>61.155999999999999</v>
      </c>
      <c r="J485" s="6" t="str">
        <f>IFERROR(Info_Camas[[#This Row],[Lineas]]/Info_Camas[[#This Row],[Cortinas]],"Pendiente")</f>
        <v>Pendiente</v>
      </c>
    </row>
    <row r="486" spans="1:10" hidden="1" x14ac:dyDescent="0.25">
      <c r="A486" t="str">
        <f>+_xlfn.CONCAT(Info_Camas[[#This Row],[Bloque]],Info_Camas[[#This Row],[Lado]],Info_Camas[[#This Row],[Cama]])</f>
        <v>03A059</v>
      </c>
      <c r="B486" t="s">
        <v>739</v>
      </c>
      <c r="C486" t="s">
        <v>26</v>
      </c>
      <c r="D486" t="s">
        <v>15</v>
      </c>
      <c r="E486" t="s">
        <v>71</v>
      </c>
      <c r="F486" t="s">
        <v>182</v>
      </c>
      <c r="G486">
        <v>61.155999999999999</v>
      </c>
      <c r="J486" s="6" t="str">
        <f>IFERROR(Info_Camas[[#This Row],[Lineas]]/Info_Camas[[#This Row],[Cortinas]],"Pendiente")</f>
        <v>Pendiente</v>
      </c>
    </row>
    <row r="487" spans="1:10" hidden="1" x14ac:dyDescent="0.25">
      <c r="A487" t="str">
        <f>+_xlfn.CONCAT(Info_Camas[[#This Row],[Bloque]],Info_Camas[[#This Row],[Lado]],Info_Camas[[#This Row],[Cama]])</f>
        <v>03B059</v>
      </c>
      <c r="B487" t="s">
        <v>739</v>
      </c>
      <c r="C487" t="s">
        <v>26</v>
      </c>
      <c r="D487" t="s">
        <v>21</v>
      </c>
      <c r="E487" t="s">
        <v>71</v>
      </c>
      <c r="F487" t="s">
        <v>182</v>
      </c>
      <c r="G487">
        <v>61.155999999999999</v>
      </c>
      <c r="J487" s="6" t="str">
        <f>IFERROR(Info_Camas[[#This Row],[Lineas]]/Info_Camas[[#This Row],[Cortinas]],"Pendiente")</f>
        <v>Pendiente</v>
      </c>
    </row>
    <row r="488" spans="1:10" hidden="1" x14ac:dyDescent="0.25">
      <c r="A488" t="str">
        <f>+_xlfn.CONCAT(Info_Camas[[#This Row],[Bloque]],Info_Camas[[#This Row],[Lado]],Info_Camas[[#This Row],[Cama]])</f>
        <v>03A060</v>
      </c>
      <c r="B488" t="s">
        <v>739</v>
      </c>
      <c r="C488" t="s">
        <v>26</v>
      </c>
      <c r="D488" t="s">
        <v>15</v>
      </c>
      <c r="E488" t="s">
        <v>71</v>
      </c>
      <c r="F488" t="s">
        <v>184</v>
      </c>
      <c r="G488">
        <v>61.155999999999999</v>
      </c>
      <c r="J488" s="6" t="str">
        <f>IFERROR(Info_Camas[[#This Row],[Lineas]]/Info_Camas[[#This Row],[Cortinas]],"Pendiente")</f>
        <v>Pendiente</v>
      </c>
    </row>
    <row r="489" spans="1:10" hidden="1" x14ac:dyDescent="0.25">
      <c r="A489" t="str">
        <f>+_xlfn.CONCAT(Info_Camas[[#This Row],[Bloque]],Info_Camas[[#This Row],[Lado]],Info_Camas[[#This Row],[Cama]])</f>
        <v>03B060</v>
      </c>
      <c r="B489" t="s">
        <v>739</v>
      </c>
      <c r="C489" t="s">
        <v>26</v>
      </c>
      <c r="D489" t="s">
        <v>21</v>
      </c>
      <c r="E489" t="s">
        <v>71</v>
      </c>
      <c r="F489" t="s">
        <v>184</v>
      </c>
      <c r="G489">
        <v>61.155999999999999</v>
      </c>
      <c r="J489" s="6" t="str">
        <f>IFERROR(Info_Camas[[#This Row],[Lineas]]/Info_Camas[[#This Row],[Cortinas]],"Pendiente")</f>
        <v>Pendiente</v>
      </c>
    </row>
    <row r="490" spans="1:10" hidden="1" x14ac:dyDescent="0.25">
      <c r="A490" t="str">
        <f>+_xlfn.CONCAT(Info_Camas[[#This Row],[Bloque]],Info_Camas[[#This Row],[Lado]],Info_Camas[[#This Row],[Cama]])</f>
        <v>03A061</v>
      </c>
      <c r="B490" t="s">
        <v>739</v>
      </c>
      <c r="C490" t="s">
        <v>26</v>
      </c>
      <c r="D490" t="s">
        <v>15</v>
      </c>
      <c r="E490" t="s">
        <v>74</v>
      </c>
      <c r="F490" t="s">
        <v>186</v>
      </c>
      <c r="G490">
        <v>61.155999999999999</v>
      </c>
      <c r="J490" s="6" t="str">
        <f>IFERROR(Info_Camas[[#This Row],[Lineas]]/Info_Camas[[#This Row],[Cortinas]],"Pendiente")</f>
        <v>Pendiente</v>
      </c>
    </row>
    <row r="491" spans="1:10" hidden="1" x14ac:dyDescent="0.25">
      <c r="A491" t="str">
        <f>+_xlfn.CONCAT(Info_Camas[[#This Row],[Bloque]],Info_Camas[[#This Row],[Lado]],Info_Camas[[#This Row],[Cama]])</f>
        <v>03B061</v>
      </c>
      <c r="B491" t="s">
        <v>739</v>
      </c>
      <c r="C491" t="s">
        <v>26</v>
      </c>
      <c r="D491" t="s">
        <v>21</v>
      </c>
      <c r="E491" t="s">
        <v>74</v>
      </c>
      <c r="F491" t="s">
        <v>186</v>
      </c>
      <c r="G491">
        <v>61.155999999999999</v>
      </c>
      <c r="J491" s="6" t="str">
        <f>IFERROR(Info_Camas[[#This Row],[Lineas]]/Info_Camas[[#This Row],[Cortinas]],"Pendiente")</f>
        <v>Pendiente</v>
      </c>
    </row>
    <row r="492" spans="1:10" hidden="1" x14ac:dyDescent="0.25">
      <c r="A492" t="str">
        <f>+_xlfn.CONCAT(Info_Camas[[#This Row],[Bloque]],Info_Camas[[#This Row],[Lado]],Info_Camas[[#This Row],[Cama]])</f>
        <v>03A062</v>
      </c>
      <c r="B492" t="s">
        <v>739</v>
      </c>
      <c r="C492" t="s">
        <v>26</v>
      </c>
      <c r="D492" t="s">
        <v>15</v>
      </c>
      <c r="E492" t="s">
        <v>74</v>
      </c>
      <c r="F492" t="s">
        <v>188</v>
      </c>
      <c r="G492">
        <v>61.155999999999999</v>
      </c>
      <c r="J492" s="6" t="str">
        <f>IFERROR(Info_Camas[[#This Row],[Lineas]]/Info_Camas[[#This Row],[Cortinas]],"Pendiente")</f>
        <v>Pendiente</v>
      </c>
    </row>
    <row r="493" spans="1:10" hidden="1" x14ac:dyDescent="0.25">
      <c r="A493" t="str">
        <f>+_xlfn.CONCAT(Info_Camas[[#This Row],[Bloque]],Info_Camas[[#This Row],[Lado]],Info_Camas[[#This Row],[Cama]])</f>
        <v>03B062</v>
      </c>
      <c r="B493" t="s">
        <v>739</v>
      </c>
      <c r="C493" t="s">
        <v>26</v>
      </c>
      <c r="D493" t="s">
        <v>21</v>
      </c>
      <c r="E493" t="s">
        <v>74</v>
      </c>
      <c r="F493" t="s">
        <v>188</v>
      </c>
      <c r="G493">
        <v>54.365099999999998</v>
      </c>
      <c r="J493" s="6" t="str">
        <f>IFERROR(Info_Camas[[#This Row],[Lineas]]/Info_Camas[[#This Row],[Cortinas]],"Pendiente")</f>
        <v>Pendiente</v>
      </c>
    </row>
    <row r="494" spans="1:10" hidden="1" x14ac:dyDescent="0.25">
      <c r="A494" t="str">
        <f>+_xlfn.CONCAT(Info_Camas[[#This Row],[Bloque]],Info_Camas[[#This Row],[Lado]],Info_Camas[[#This Row],[Cama]])</f>
        <v>03A063</v>
      </c>
      <c r="B494" t="s">
        <v>739</v>
      </c>
      <c r="C494" t="s">
        <v>26</v>
      </c>
      <c r="D494" t="s">
        <v>15</v>
      </c>
      <c r="E494" t="s">
        <v>74</v>
      </c>
      <c r="F494" t="s">
        <v>190</v>
      </c>
      <c r="G494">
        <v>61.155999999999999</v>
      </c>
      <c r="J494" s="6" t="str">
        <f>IFERROR(Info_Camas[[#This Row],[Lineas]]/Info_Camas[[#This Row],[Cortinas]],"Pendiente")</f>
        <v>Pendiente</v>
      </c>
    </row>
    <row r="495" spans="1:10" hidden="1" x14ac:dyDescent="0.25">
      <c r="A495" t="str">
        <f>+_xlfn.CONCAT(Info_Camas[[#This Row],[Bloque]],Info_Camas[[#This Row],[Lado]],Info_Camas[[#This Row],[Cama]])</f>
        <v>03B063</v>
      </c>
      <c r="B495" t="s">
        <v>739</v>
      </c>
      <c r="C495" t="s">
        <v>26</v>
      </c>
      <c r="D495" t="s">
        <v>21</v>
      </c>
      <c r="E495" t="s">
        <v>74</v>
      </c>
      <c r="F495" t="s">
        <v>190</v>
      </c>
      <c r="G495">
        <v>61.155999999999999</v>
      </c>
      <c r="J495" s="6" t="str">
        <f>IFERROR(Info_Camas[[#This Row],[Lineas]]/Info_Camas[[#This Row],[Cortinas]],"Pendiente")</f>
        <v>Pendiente</v>
      </c>
    </row>
    <row r="496" spans="1:10" hidden="1" x14ac:dyDescent="0.25">
      <c r="A496" t="str">
        <f>+_xlfn.CONCAT(Info_Camas[[#This Row],[Bloque]],Info_Camas[[#This Row],[Lado]],Info_Camas[[#This Row],[Cama]])</f>
        <v>03A064</v>
      </c>
      <c r="B496" t="s">
        <v>739</v>
      </c>
      <c r="C496" t="s">
        <v>26</v>
      </c>
      <c r="D496" t="s">
        <v>15</v>
      </c>
      <c r="E496" t="s">
        <v>74</v>
      </c>
      <c r="F496" t="s">
        <v>192</v>
      </c>
      <c r="G496">
        <v>61.155999999999999</v>
      </c>
      <c r="J496" s="6" t="str">
        <f>IFERROR(Info_Camas[[#This Row],[Lineas]]/Info_Camas[[#This Row],[Cortinas]],"Pendiente")</f>
        <v>Pendiente</v>
      </c>
    </row>
    <row r="497" spans="1:10" hidden="1" x14ac:dyDescent="0.25">
      <c r="A497" t="str">
        <f>+_xlfn.CONCAT(Info_Camas[[#This Row],[Bloque]],Info_Camas[[#This Row],[Lado]],Info_Camas[[#This Row],[Cama]])</f>
        <v>03B064</v>
      </c>
      <c r="B497" t="s">
        <v>739</v>
      </c>
      <c r="C497" t="s">
        <v>26</v>
      </c>
      <c r="D497" t="s">
        <v>21</v>
      </c>
      <c r="E497" t="s">
        <v>74</v>
      </c>
      <c r="F497" t="s">
        <v>192</v>
      </c>
      <c r="G497">
        <v>61.155999999999999</v>
      </c>
      <c r="J497" s="6" t="str">
        <f>IFERROR(Info_Camas[[#This Row],[Lineas]]/Info_Camas[[#This Row],[Cortinas]],"Pendiente")</f>
        <v>Pendiente</v>
      </c>
    </row>
    <row r="498" spans="1:10" hidden="1" x14ac:dyDescent="0.25">
      <c r="A498" t="str">
        <f>+_xlfn.CONCAT(Info_Camas[[#This Row],[Bloque]],Info_Camas[[#This Row],[Lado]],Info_Camas[[#This Row],[Cama]])</f>
        <v>03A065</v>
      </c>
      <c r="B498" t="s">
        <v>739</v>
      </c>
      <c r="C498" t="s">
        <v>26</v>
      </c>
      <c r="D498" t="s">
        <v>15</v>
      </c>
      <c r="E498" t="s">
        <v>77</v>
      </c>
      <c r="F498" t="s">
        <v>194</v>
      </c>
      <c r="G498">
        <v>47.846200000000003</v>
      </c>
      <c r="J498" s="6" t="str">
        <f>IFERROR(Info_Camas[[#This Row],[Lineas]]/Info_Camas[[#This Row],[Cortinas]],"Pendiente")</f>
        <v>Pendiente</v>
      </c>
    </row>
    <row r="499" spans="1:10" hidden="1" x14ac:dyDescent="0.25">
      <c r="A499" t="str">
        <f>+_xlfn.CONCAT(Info_Camas[[#This Row],[Bloque]],Info_Camas[[#This Row],[Lado]],Info_Camas[[#This Row],[Cama]])</f>
        <v>03B065</v>
      </c>
      <c r="B499" t="s">
        <v>739</v>
      </c>
      <c r="C499" t="s">
        <v>26</v>
      </c>
      <c r="D499" t="s">
        <v>21</v>
      </c>
      <c r="E499" t="s">
        <v>77</v>
      </c>
      <c r="F499" t="s">
        <v>194</v>
      </c>
      <c r="G499">
        <v>61.155999999999999</v>
      </c>
      <c r="J499" s="6" t="str">
        <f>IFERROR(Info_Camas[[#This Row],[Lineas]]/Info_Camas[[#This Row],[Cortinas]],"Pendiente")</f>
        <v>Pendiente</v>
      </c>
    </row>
    <row r="500" spans="1:10" hidden="1" x14ac:dyDescent="0.25">
      <c r="A500" t="str">
        <f>+_xlfn.CONCAT(Info_Camas[[#This Row],[Bloque]],Info_Camas[[#This Row],[Lado]],Info_Camas[[#This Row],[Cama]])</f>
        <v>03A066</v>
      </c>
      <c r="B500" t="s">
        <v>739</v>
      </c>
      <c r="C500" t="s">
        <v>26</v>
      </c>
      <c r="D500" t="s">
        <v>15</v>
      </c>
      <c r="E500" t="s">
        <v>77</v>
      </c>
      <c r="F500" t="s">
        <v>196</v>
      </c>
      <c r="G500">
        <v>61.155999999999999</v>
      </c>
      <c r="J500" s="6" t="str">
        <f>IFERROR(Info_Camas[[#This Row],[Lineas]]/Info_Camas[[#This Row],[Cortinas]],"Pendiente")</f>
        <v>Pendiente</v>
      </c>
    </row>
    <row r="501" spans="1:10" hidden="1" x14ac:dyDescent="0.25">
      <c r="A501" t="str">
        <f>+_xlfn.CONCAT(Info_Camas[[#This Row],[Bloque]],Info_Camas[[#This Row],[Lado]],Info_Camas[[#This Row],[Cama]])</f>
        <v>03B066</v>
      </c>
      <c r="B501" t="s">
        <v>739</v>
      </c>
      <c r="C501" t="s">
        <v>26</v>
      </c>
      <c r="D501" t="s">
        <v>21</v>
      </c>
      <c r="E501" t="s">
        <v>77</v>
      </c>
      <c r="F501" t="s">
        <v>196</v>
      </c>
      <c r="G501">
        <v>61.155999999999999</v>
      </c>
      <c r="J501" s="6" t="str">
        <f>IFERROR(Info_Camas[[#This Row],[Lineas]]/Info_Camas[[#This Row],[Cortinas]],"Pendiente")</f>
        <v>Pendiente</v>
      </c>
    </row>
    <row r="502" spans="1:10" hidden="1" x14ac:dyDescent="0.25">
      <c r="A502" t="str">
        <f>+_xlfn.CONCAT(Info_Camas[[#This Row],[Bloque]],Info_Camas[[#This Row],[Lado]],Info_Camas[[#This Row],[Cama]])</f>
        <v>03A067</v>
      </c>
      <c r="B502" t="s">
        <v>739</v>
      </c>
      <c r="C502" t="s">
        <v>26</v>
      </c>
      <c r="D502" t="s">
        <v>15</v>
      </c>
      <c r="E502" t="s">
        <v>77</v>
      </c>
      <c r="F502" t="s">
        <v>198</v>
      </c>
      <c r="G502">
        <v>61.155999999999999</v>
      </c>
      <c r="J502" s="6" t="str">
        <f>IFERROR(Info_Camas[[#This Row],[Lineas]]/Info_Camas[[#This Row],[Cortinas]],"Pendiente")</f>
        <v>Pendiente</v>
      </c>
    </row>
    <row r="503" spans="1:10" hidden="1" x14ac:dyDescent="0.25">
      <c r="A503" t="str">
        <f>+_xlfn.CONCAT(Info_Camas[[#This Row],[Bloque]],Info_Camas[[#This Row],[Lado]],Info_Camas[[#This Row],[Cama]])</f>
        <v>03B067</v>
      </c>
      <c r="B503" t="s">
        <v>739</v>
      </c>
      <c r="C503" t="s">
        <v>26</v>
      </c>
      <c r="D503" t="s">
        <v>21</v>
      </c>
      <c r="E503" t="s">
        <v>77</v>
      </c>
      <c r="F503" t="s">
        <v>198</v>
      </c>
      <c r="G503">
        <v>61.155999999999999</v>
      </c>
      <c r="J503" s="6" t="str">
        <f>IFERROR(Info_Camas[[#This Row],[Lineas]]/Info_Camas[[#This Row],[Cortinas]],"Pendiente")</f>
        <v>Pendiente</v>
      </c>
    </row>
    <row r="504" spans="1:10" hidden="1" x14ac:dyDescent="0.25">
      <c r="A504" t="str">
        <f>+_xlfn.CONCAT(Info_Camas[[#This Row],[Bloque]],Info_Camas[[#This Row],[Lado]],Info_Camas[[#This Row],[Cama]])</f>
        <v>03A068</v>
      </c>
      <c r="B504" t="s">
        <v>739</v>
      </c>
      <c r="C504" t="s">
        <v>26</v>
      </c>
      <c r="D504" t="s">
        <v>15</v>
      </c>
      <c r="E504" t="s">
        <v>77</v>
      </c>
      <c r="F504" t="s">
        <v>200</v>
      </c>
      <c r="G504">
        <v>61.155999999999999</v>
      </c>
      <c r="J504" s="6" t="str">
        <f>IFERROR(Info_Camas[[#This Row],[Lineas]]/Info_Camas[[#This Row],[Cortinas]],"Pendiente")</f>
        <v>Pendiente</v>
      </c>
    </row>
    <row r="505" spans="1:10" hidden="1" x14ac:dyDescent="0.25">
      <c r="A505" t="str">
        <f>+_xlfn.CONCAT(Info_Camas[[#This Row],[Bloque]],Info_Camas[[#This Row],[Lado]],Info_Camas[[#This Row],[Cama]])</f>
        <v>03B068</v>
      </c>
      <c r="B505" t="s">
        <v>739</v>
      </c>
      <c r="C505" t="s">
        <v>26</v>
      </c>
      <c r="D505" t="s">
        <v>21</v>
      </c>
      <c r="E505" t="s">
        <v>77</v>
      </c>
      <c r="F505" t="s">
        <v>200</v>
      </c>
      <c r="G505">
        <v>6.7911000000000001</v>
      </c>
      <c r="J505" s="6" t="str">
        <f>IFERROR(Info_Camas[[#This Row],[Lineas]]/Info_Camas[[#This Row],[Cortinas]],"Pendiente")</f>
        <v>Pendiente</v>
      </c>
    </row>
    <row r="506" spans="1:10" hidden="1" x14ac:dyDescent="0.25">
      <c r="A506" t="str">
        <f>+_xlfn.CONCAT(Info_Camas[[#This Row],[Bloque]],Info_Camas[[#This Row],[Lado]],Info_Camas[[#This Row],[Cama]])</f>
        <v>03A069</v>
      </c>
      <c r="B506" t="s">
        <v>739</v>
      </c>
      <c r="C506" t="s">
        <v>26</v>
      </c>
      <c r="D506" t="s">
        <v>15</v>
      </c>
      <c r="E506" t="s">
        <v>80</v>
      </c>
      <c r="F506" t="s">
        <v>202</v>
      </c>
      <c r="G506">
        <v>9.4085999999999999</v>
      </c>
      <c r="J506" s="6" t="str">
        <f>IFERROR(Info_Camas[[#This Row],[Lineas]]/Info_Camas[[#This Row],[Cortinas]],"Pendiente")</f>
        <v>Pendiente</v>
      </c>
    </row>
    <row r="507" spans="1:10" hidden="1" x14ac:dyDescent="0.25">
      <c r="A507" t="str">
        <f>+_xlfn.CONCAT(Info_Camas[[#This Row],[Bloque]],Info_Camas[[#This Row],[Lado]],Info_Camas[[#This Row],[Cama]])</f>
        <v>03B069</v>
      </c>
      <c r="B507" t="s">
        <v>739</v>
      </c>
      <c r="C507" t="s">
        <v>26</v>
      </c>
      <c r="D507" t="s">
        <v>21</v>
      </c>
      <c r="E507" t="s">
        <v>80</v>
      </c>
      <c r="F507" t="s">
        <v>202</v>
      </c>
      <c r="G507">
        <v>61.155999999999999</v>
      </c>
      <c r="J507" s="6" t="str">
        <f>IFERROR(Info_Camas[[#This Row],[Lineas]]/Info_Camas[[#This Row],[Cortinas]],"Pendiente")</f>
        <v>Pendiente</v>
      </c>
    </row>
    <row r="508" spans="1:10" hidden="1" x14ac:dyDescent="0.25">
      <c r="A508" t="str">
        <f>+_xlfn.CONCAT(Info_Camas[[#This Row],[Bloque]],Info_Camas[[#This Row],[Lado]],Info_Camas[[#This Row],[Cama]])</f>
        <v>03A070</v>
      </c>
      <c r="B508" t="s">
        <v>739</v>
      </c>
      <c r="C508" t="s">
        <v>26</v>
      </c>
      <c r="D508" t="s">
        <v>15</v>
      </c>
      <c r="E508" t="s">
        <v>80</v>
      </c>
      <c r="F508" t="s">
        <v>204</v>
      </c>
      <c r="G508">
        <v>61.155999999999999</v>
      </c>
      <c r="J508" s="6" t="str">
        <f>IFERROR(Info_Camas[[#This Row],[Lineas]]/Info_Camas[[#This Row],[Cortinas]],"Pendiente")</f>
        <v>Pendiente</v>
      </c>
    </row>
    <row r="509" spans="1:10" hidden="1" x14ac:dyDescent="0.25">
      <c r="A509" t="str">
        <f>+_xlfn.CONCAT(Info_Camas[[#This Row],[Bloque]],Info_Camas[[#This Row],[Lado]],Info_Camas[[#This Row],[Cama]])</f>
        <v>03B070</v>
      </c>
      <c r="B509" t="s">
        <v>739</v>
      </c>
      <c r="C509" t="s">
        <v>26</v>
      </c>
      <c r="D509" t="s">
        <v>21</v>
      </c>
      <c r="E509" t="s">
        <v>80</v>
      </c>
      <c r="F509" t="s">
        <v>204</v>
      </c>
      <c r="G509">
        <v>61.155999999999999</v>
      </c>
      <c r="J509" s="6" t="str">
        <f>IFERROR(Info_Camas[[#This Row],[Lineas]]/Info_Camas[[#This Row],[Cortinas]],"Pendiente")</f>
        <v>Pendiente</v>
      </c>
    </row>
    <row r="510" spans="1:10" hidden="1" x14ac:dyDescent="0.25">
      <c r="A510" t="str">
        <f>+_xlfn.CONCAT(Info_Camas[[#This Row],[Bloque]],Info_Camas[[#This Row],[Lado]],Info_Camas[[#This Row],[Cama]])</f>
        <v>03A071</v>
      </c>
      <c r="B510" t="s">
        <v>739</v>
      </c>
      <c r="C510" t="s">
        <v>26</v>
      </c>
      <c r="D510" t="s">
        <v>15</v>
      </c>
      <c r="E510" t="s">
        <v>80</v>
      </c>
      <c r="F510" t="s">
        <v>206</v>
      </c>
      <c r="G510">
        <v>61.155999999999999</v>
      </c>
      <c r="J510" s="6" t="str">
        <f>IFERROR(Info_Camas[[#This Row],[Lineas]]/Info_Camas[[#This Row],[Cortinas]],"Pendiente")</f>
        <v>Pendiente</v>
      </c>
    </row>
    <row r="511" spans="1:10" hidden="1" x14ac:dyDescent="0.25">
      <c r="A511" t="str">
        <f>+_xlfn.CONCAT(Info_Camas[[#This Row],[Bloque]],Info_Camas[[#This Row],[Lado]],Info_Camas[[#This Row],[Cama]])</f>
        <v>03B071</v>
      </c>
      <c r="B511" t="s">
        <v>739</v>
      </c>
      <c r="C511" t="s">
        <v>26</v>
      </c>
      <c r="D511" t="s">
        <v>21</v>
      </c>
      <c r="E511" t="s">
        <v>80</v>
      </c>
      <c r="F511" t="s">
        <v>206</v>
      </c>
      <c r="G511">
        <v>61.155999999999999</v>
      </c>
      <c r="J511" s="6" t="str">
        <f>IFERROR(Info_Camas[[#This Row],[Lineas]]/Info_Camas[[#This Row],[Cortinas]],"Pendiente")</f>
        <v>Pendiente</v>
      </c>
    </row>
    <row r="512" spans="1:10" hidden="1" x14ac:dyDescent="0.25">
      <c r="A512" t="str">
        <f>+_xlfn.CONCAT(Info_Camas[[#This Row],[Bloque]],Info_Camas[[#This Row],[Lado]],Info_Camas[[#This Row],[Cama]])</f>
        <v>03A072</v>
      </c>
      <c r="B512" t="s">
        <v>739</v>
      </c>
      <c r="C512" t="s">
        <v>26</v>
      </c>
      <c r="D512" t="s">
        <v>15</v>
      </c>
      <c r="E512" t="s">
        <v>80</v>
      </c>
      <c r="F512" t="s">
        <v>208</v>
      </c>
      <c r="G512">
        <v>61.155999999999999</v>
      </c>
      <c r="J512" s="6" t="str">
        <f>IFERROR(Info_Camas[[#This Row],[Lineas]]/Info_Camas[[#This Row],[Cortinas]],"Pendiente")</f>
        <v>Pendiente</v>
      </c>
    </row>
    <row r="513" spans="1:10" hidden="1" x14ac:dyDescent="0.25">
      <c r="A513" t="str">
        <f>+_xlfn.CONCAT(Info_Camas[[#This Row],[Bloque]],Info_Camas[[#This Row],[Lado]],Info_Camas[[#This Row],[Cama]])</f>
        <v>03B072</v>
      </c>
      <c r="B513" t="s">
        <v>739</v>
      </c>
      <c r="C513" t="s">
        <v>26</v>
      </c>
      <c r="D513" t="s">
        <v>21</v>
      </c>
      <c r="E513" t="s">
        <v>80</v>
      </c>
      <c r="F513" t="s">
        <v>208</v>
      </c>
      <c r="G513">
        <v>61.155999999999999</v>
      </c>
      <c r="J513" s="6" t="str">
        <f>IFERROR(Info_Camas[[#This Row],[Lineas]]/Info_Camas[[#This Row],[Cortinas]],"Pendiente")</f>
        <v>Pendiente</v>
      </c>
    </row>
    <row r="514" spans="1:10" hidden="1" x14ac:dyDescent="0.25">
      <c r="A514" t="str">
        <f>+_xlfn.CONCAT(Info_Camas[[#This Row],[Bloque]],Info_Camas[[#This Row],[Lado]],Info_Camas[[#This Row],[Cama]])</f>
        <v>03A073</v>
      </c>
      <c r="B514" t="s">
        <v>739</v>
      </c>
      <c r="C514" t="s">
        <v>26</v>
      </c>
      <c r="D514" t="s">
        <v>15</v>
      </c>
      <c r="E514" t="s">
        <v>83</v>
      </c>
      <c r="F514" t="s">
        <v>210</v>
      </c>
      <c r="G514">
        <v>20.389500000000002</v>
      </c>
      <c r="J514" s="6" t="str">
        <f>IFERROR(Info_Camas[[#This Row],[Lineas]]/Info_Camas[[#This Row],[Cortinas]],"Pendiente")</f>
        <v>Pendiente</v>
      </c>
    </row>
    <row r="515" spans="1:10" hidden="1" x14ac:dyDescent="0.25">
      <c r="A515" t="str">
        <f>+_xlfn.CONCAT(Info_Camas[[#This Row],[Bloque]],Info_Camas[[#This Row],[Lado]],Info_Camas[[#This Row],[Cama]])</f>
        <v>03B073</v>
      </c>
      <c r="B515" t="s">
        <v>739</v>
      </c>
      <c r="C515" t="s">
        <v>26</v>
      </c>
      <c r="D515" t="s">
        <v>21</v>
      </c>
      <c r="E515" t="s">
        <v>83</v>
      </c>
      <c r="F515" t="s">
        <v>210</v>
      </c>
      <c r="G515">
        <v>61.155999999999999</v>
      </c>
      <c r="J515" s="6" t="str">
        <f>IFERROR(Info_Camas[[#This Row],[Lineas]]/Info_Camas[[#This Row],[Cortinas]],"Pendiente")</f>
        <v>Pendiente</v>
      </c>
    </row>
    <row r="516" spans="1:10" hidden="1" x14ac:dyDescent="0.25">
      <c r="A516" t="str">
        <f>+_xlfn.CONCAT(Info_Camas[[#This Row],[Bloque]],Info_Camas[[#This Row],[Lado]],Info_Camas[[#This Row],[Cama]])</f>
        <v>03A074</v>
      </c>
      <c r="B516" t="s">
        <v>739</v>
      </c>
      <c r="C516" t="s">
        <v>26</v>
      </c>
      <c r="D516" t="s">
        <v>15</v>
      </c>
      <c r="E516" t="s">
        <v>83</v>
      </c>
      <c r="F516" t="s">
        <v>212</v>
      </c>
      <c r="G516">
        <v>61.155999999999999</v>
      </c>
      <c r="J516" s="6" t="str">
        <f>IFERROR(Info_Camas[[#This Row],[Lineas]]/Info_Camas[[#This Row],[Cortinas]],"Pendiente")</f>
        <v>Pendiente</v>
      </c>
    </row>
    <row r="517" spans="1:10" hidden="1" x14ac:dyDescent="0.25">
      <c r="A517" t="str">
        <f>+_xlfn.CONCAT(Info_Camas[[#This Row],[Bloque]],Info_Camas[[#This Row],[Lado]],Info_Camas[[#This Row],[Cama]])</f>
        <v>03B074</v>
      </c>
      <c r="B517" t="s">
        <v>739</v>
      </c>
      <c r="C517" t="s">
        <v>26</v>
      </c>
      <c r="D517" t="s">
        <v>21</v>
      </c>
      <c r="E517" t="s">
        <v>83</v>
      </c>
      <c r="F517" t="s">
        <v>212</v>
      </c>
      <c r="G517">
        <v>61.155999999999999</v>
      </c>
      <c r="J517" s="6" t="str">
        <f>IFERROR(Info_Camas[[#This Row],[Lineas]]/Info_Camas[[#This Row],[Cortinas]],"Pendiente")</f>
        <v>Pendiente</v>
      </c>
    </row>
    <row r="518" spans="1:10" hidden="1" x14ac:dyDescent="0.25">
      <c r="A518" t="str">
        <f>+_xlfn.CONCAT(Info_Camas[[#This Row],[Bloque]],Info_Camas[[#This Row],[Lado]],Info_Camas[[#This Row],[Cama]])</f>
        <v>03A075</v>
      </c>
      <c r="B518" t="s">
        <v>739</v>
      </c>
      <c r="C518" t="s">
        <v>26</v>
      </c>
      <c r="D518" t="s">
        <v>15</v>
      </c>
      <c r="E518" t="s">
        <v>83</v>
      </c>
      <c r="F518" t="s">
        <v>214</v>
      </c>
      <c r="G518">
        <v>61.155999999999999</v>
      </c>
      <c r="J518" s="6" t="str">
        <f>IFERROR(Info_Camas[[#This Row],[Lineas]]/Info_Camas[[#This Row],[Cortinas]],"Pendiente")</f>
        <v>Pendiente</v>
      </c>
    </row>
    <row r="519" spans="1:10" hidden="1" x14ac:dyDescent="0.25">
      <c r="A519" t="str">
        <f>+_xlfn.CONCAT(Info_Camas[[#This Row],[Bloque]],Info_Camas[[#This Row],[Lado]],Info_Camas[[#This Row],[Cama]])</f>
        <v>03B075</v>
      </c>
      <c r="B519" t="s">
        <v>739</v>
      </c>
      <c r="C519" t="s">
        <v>26</v>
      </c>
      <c r="D519" t="s">
        <v>21</v>
      </c>
      <c r="E519" t="s">
        <v>83</v>
      </c>
      <c r="F519" t="s">
        <v>214</v>
      </c>
      <c r="G519">
        <v>61.155999999999999</v>
      </c>
      <c r="J519" s="6" t="str">
        <f>IFERROR(Info_Camas[[#This Row],[Lineas]]/Info_Camas[[#This Row],[Cortinas]],"Pendiente")</f>
        <v>Pendiente</v>
      </c>
    </row>
    <row r="520" spans="1:10" hidden="1" x14ac:dyDescent="0.25">
      <c r="A520" t="str">
        <f>+_xlfn.CONCAT(Info_Camas[[#This Row],[Bloque]],Info_Camas[[#This Row],[Lado]],Info_Camas[[#This Row],[Cama]])</f>
        <v>03A076</v>
      </c>
      <c r="B520" t="s">
        <v>739</v>
      </c>
      <c r="C520" t="s">
        <v>26</v>
      </c>
      <c r="D520" t="s">
        <v>15</v>
      </c>
      <c r="E520" t="s">
        <v>83</v>
      </c>
      <c r="F520" t="s">
        <v>216</v>
      </c>
      <c r="G520">
        <v>61.155999999999999</v>
      </c>
      <c r="J520" s="6" t="str">
        <f>IFERROR(Info_Camas[[#This Row],[Lineas]]/Info_Camas[[#This Row],[Cortinas]],"Pendiente")</f>
        <v>Pendiente</v>
      </c>
    </row>
    <row r="521" spans="1:10" hidden="1" x14ac:dyDescent="0.25">
      <c r="A521" t="str">
        <f>+_xlfn.CONCAT(Info_Camas[[#This Row],[Bloque]],Info_Camas[[#This Row],[Lado]],Info_Camas[[#This Row],[Cama]])</f>
        <v>03B076</v>
      </c>
      <c r="B521" t="s">
        <v>739</v>
      </c>
      <c r="C521" t="s">
        <v>26</v>
      </c>
      <c r="D521" t="s">
        <v>21</v>
      </c>
      <c r="E521" t="s">
        <v>83</v>
      </c>
      <c r="F521" t="s">
        <v>216</v>
      </c>
      <c r="G521">
        <v>37.373100000000001</v>
      </c>
      <c r="J521" s="6" t="str">
        <f>IFERROR(Info_Camas[[#This Row],[Lineas]]/Info_Camas[[#This Row],[Cortinas]],"Pendiente")</f>
        <v>Pendiente</v>
      </c>
    </row>
    <row r="522" spans="1:10" hidden="1" x14ac:dyDescent="0.25">
      <c r="A522" t="str">
        <f>+_xlfn.CONCAT(Info_Camas[[#This Row],[Bloque]],Info_Camas[[#This Row],[Lado]],Info_Camas[[#This Row],[Cama]])</f>
        <v>03A077</v>
      </c>
      <c r="B522" t="s">
        <v>739</v>
      </c>
      <c r="C522" t="s">
        <v>26</v>
      </c>
      <c r="D522" t="s">
        <v>15</v>
      </c>
      <c r="E522" t="s">
        <v>86</v>
      </c>
      <c r="F522" t="s">
        <v>218</v>
      </c>
      <c r="G522">
        <v>61.155999999999999</v>
      </c>
      <c r="J522" s="6" t="str">
        <f>IFERROR(Info_Camas[[#This Row],[Lineas]]/Info_Camas[[#This Row],[Cortinas]],"Pendiente")</f>
        <v>Pendiente</v>
      </c>
    </row>
    <row r="523" spans="1:10" hidden="1" x14ac:dyDescent="0.25">
      <c r="A523" t="str">
        <f>+_xlfn.CONCAT(Info_Camas[[#This Row],[Bloque]],Info_Camas[[#This Row],[Lado]],Info_Camas[[#This Row],[Cama]])</f>
        <v>03B077</v>
      </c>
      <c r="B523" t="s">
        <v>739</v>
      </c>
      <c r="C523" t="s">
        <v>26</v>
      </c>
      <c r="D523" t="s">
        <v>21</v>
      </c>
      <c r="E523" t="s">
        <v>86</v>
      </c>
      <c r="F523" t="s">
        <v>218</v>
      </c>
      <c r="G523">
        <v>61.155999999999999</v>
      </c>
      <c r="J523" s="6" t="str">
        <f>IFERROR(Info_Camas[[#This Row],[Lineas]]/Info_Camas[[#This Row],[Cortinas]],"Pendiente")</f>
        <v>Pendiente</v>
      </c>
    </row>
    <row r="524" spans="1:10" hidden="1" x14ac:dyDescent="0.25">
      <c r="A524" t="str">
        <f>+_xlfn.CONCAT(Info_Camas[[#This Row],[Bloque]],Info_Camas[[#This Row],[Lado]],Info_Camas[[#This Row],[Cama]])</f>
        <v>03A078</v>
      </c>
      <c r="B524" t="s">
        <v>739</v>
      </c>
      <c r="C524" t="s">
        <v>26</v>
      </c>
      <c r="D524" t="s">
        <v>15</v>
      </c>
      <c r="E524" t="s">
        <v>86</v>
      </c>
      <c r="F524" t="s">
        <v>220</v>
      </c>
      <c r="G524">
        <v>61.155999999999999</v>
      </c>
      <c r="J524" s="6" t="str">
        <f>IFERROR(Info_Camas[[#This Row],[Lineas]]/Info_Camas[[#This Row],[Cortinas]],"Pendiente")</f>
        <v>Pendiente</v>
      </c>
    </row>
    <row r="525" spans="1:10" hidden="1" x14ac:dyDescent="0.25">
      <c r="A525" t="str">
        <f>+_xlfn.CONCAT(Info_Camas[[#This Row],[Bloque]],Info_Camas[[#This Row],[Lado]],Info_Camas[[#This Row],[Cama]])</f>
        <v>03B078</v>
      </c>
      <c r="B525" t="s">
        <v>739</v>
      </c>
      <c r="C525" t="s">
        <v>26</v>
      </c>
      <c r="D525" t="s">
        <v>21</v>
      </c>
      <c r="E525" t="s">
        <v>86</v>
      </c>
      <c r="F525" t="s">
        <v>220</v>
      </c>
      <c r="G525">
        <v>61.155999999999999</v>
      </c>
      <c r="J525" s="6" t="str">
        <f>IFERROR(Info_Camas[[#This Row],[Lineas]]/Info_Camas[[#This Row],[Cortinas]],"Pendiente")</f>
        <v>Pendiente</v>
      </c>
    </row>
    <row r="526" spans="1:10" hidden="1" x14ac:dyDescent="0.25">
      <c r="A526" t="str">
        <f>+_xlfn.CONCAT(Info_Camas[[#This Row],[Bloque]],Info_Camas[[#This Row],[Lado]],Info_Camas[[#This Row],[Cama]])</f>
        <v>03A079</v>
      </c>
      <c r="B526" t="s">
        <v>739</v>
      </c>
      <c r="C526" t="s">
        <v>26</v>
      </c>
      <c r="D526" t="s">
        <v>15</v>
      </c>
      <c r="E526" t="s">
        <v>86</v>
      </c>
      <c r="F526" t="s">
        <v>222</v>
      </c>
      <c r="G526">
        <v>61.155999999999999</v>
      </c>
      <c r="J526" s="6" t="str">
        <f>IFERROR(Info_Camas[[#This Row],[Lineas]]/Info_Camas[[#This Row],[Cortinas]],"Pendiente")</f>
        <v>Pendiente</v>
      </c>
    </row>
    <row r="527" spans="1:10" hidden="1" x14ac:dyDescent="0.25">
      <c r="A527" t="str">
        <f>+_xlfn.CONCAT(Info_Camas[[#This Row],[Bloque]],Info_Camas[[#This Row],[Lado]],Info_Camas[[#This Row],[Cama]])</f>
        <v>03B079</v>
      </c>
      <c r="B527" t="s">
        <v>739</v>
      </c>
      <c r="C527" t="s">
        <v>26</v>
      </c>
      <c r="D527" t="s">
        <v>21</v>
      </c>
      <c r="E527" t="s">
        <v>86</v>
      </c>
      <c r="F527" t="s">
        <v>222</v>
      </c>
      <c r="G527">
        <v>61.155999999999999</v>
      </c>
      <c r="J527" s="6" t="str">
        <f>IFERROR(Info_Camas[[#This Row],[Lineas]]/Info_Camas[[#This Row],[Cortinas]],"Pendiente")</f>
        <v>Pendiente</v>
      </c>
    </row>
    <row r="528" spans="1:10" hidden="1" x14ac:dyDescent="0.25">
      <c r="A528" t="str">
        <f>+_xlfn.CONCAT(Info_Camas[[#This Row],[Bloque]],Info_Camas[[#This Row],[Lado]],Info_Camas[[#This Row],[Cama]])</f>
        <v>03A080</v>
      </c>
      <c r="B528" t="s">
        <v>739</v>
      </c>
      <c r="C528" t="s">
        <v>26</v>
      </c>
      <c r="D528" t="s">
        <v>15</v>
      </c>
      <c r="E528" t="s">
        <v>86</v>
      </c>
      <c r="F528" t="s">
        <v>224</v>
      </c>
      <c r="G528">
        <v>61.155999999999999</v>
      </c>
      <c r="J528" s="6" t="str">
        <f>IFERROR(Info_Camas[[#This Row],[Lineas]]/Info_Camas[[#This Row],[Cortinas]],"Pendiente")</f>
        <v>Pendiente</v>
      </c>
    </row>
    <row r="529" spans="1:10" hidden="1" x14ac:dyDescent="0.25">
      <c r="A529" t="str">
        <f>+_xlfn.CONCAT(Info_Camas[[#This Row],[Bloque]],Info_Camas[[#This Row],[Lado]],Info_Camas[[#This Row],[Cama]])</f>
        <v>03B080</v>
      </c>
      <c r="B529" t="s">
        <v>739</v>
      </c>
      <c r="C529" t="s">
        <v>26</v>
      </c>
      <c r="D529" t="s">
        <v>21</v>
      </c>
      <c r="E529" t="s">
        <v>86</v>
      </c>
      <c r="F529" t="s">
        <v>224</v>
      </c>
      <c r="G529">
        <v>61.155999999999999</v>
      </c>
      <c r="J529" s="6" t="str">
        <f>IFERROR(Info_Camas[[#This Row],[Lineas]]/Info_Camas[[#This Row],[Cortinas]],"Pendiente")</f>
        <v>Pendiente</v>
      </c>
    </row>
    <row r="530" spans="1:10" hidden="1" x14ac:dyDescent="0.25">
      <c r="A530" t="str">
        <f>+_xlfn.CONCAT(Info_Camas[[#This Row],[Bloque]],Info_Camas[[#This Row],[Lado]],Info_Camas[[#This Row],[Cama]])</f>
        <v>03A081</v>
      </c>
      <c r="B530" t="s">
        <v>739</v>
      </c>
      <c r="C530" t="s">
        <v>26</v>
      </c>
      <c r="D530" t="s">
        <v>15</v>
      </c>
      <c r="E530" t="s">
        <v>89</v>
      </c>
      <c r="F530" t="s">
        <v>226</v>
      </c>
      <c r="G530">
        <v>61.155999999999999</v>
      </c>
      <c r="J530" s="6" t="str">
        <f>IFERROR(Info_Camas[[#This Row],[Lineas]]/Info_Camas[[#This Row],[Cortinas]],"Pendiente")</f>
        <v>Pendiente</v>
      </c>
    </row>
    <row r="531" spans="1:10" hidden="1" x14ac:dyDescent="0.25">
      <c r="A531" t="str">
        <f>+_xlfn.CONCAT(Info_Camas[[#This Row],[Bloque]],Info_Camas[[#This Row],[Lado]],Info_Camas[[#This Row],[Cama]])</f>
        <v>03B081</v>
      </c>
      <c r="B531" t="s">
        <v>739</v>
      </c>
      <c r="C531" t="s">
        <v>26</v>
      </c>
      <c r="D531" t="s">
        <v>21</v>
      </c>
      <c r="E531" t="s">
        <v>89</v>
      </c>
      <c r="F531" t="s">
        <v>226</v>
      </c>
      <c r="G531">
        <v>61.155999999999999</v>
      </c>
      <c r="J531" s="6" t="str">
        <f>IFERROR(Info_Camas[[#This Row],[Lineas]]/Info_Camas[[#This Row],[Cortinas]],"Pendiente")</f>
        <v>Pendiente</v>
      </c>
    </row>
    <row r="532" spans="1:10" hidden="1" x14ac:dyDescent="0.25">
      <c r="A532" t="str">
        <f>+_xlfn.CONCAT(Info_Camas[[#This Row],[Bloque]],Info_Camas[[#This Row],[Lado]],Info_Camas[[#This Row],[Cama]])</f>
        <v>03A082</v>
      </c>
      <c r="B532" t="s">
        <v>739</v>
      </c>
      <c r="C532" t="s">
        <v>26</v>
      </c>
      <c r="D532" t="s">
        <v>15</v>
      </c>
      <c r="E532" t="s">
        <v>89</v>
      </c>
      <c r="F532" t="s">
        <v>229</v>
      </c>
      <c r="G532">
        <v>61.155999999999999</v>
      </c>
      <c r="J532" s="6" t="str">
        <f>IFERROR(Info_Camas[[#This Row],[Lineas]]/Info_Camas[[#This Row],[Cortinas]],"Pendiente")</f>
        <v>Pendiente</v>
      </c>
    </row>
    <row r="533" spans="1:10" hidden="1" x14ac:dyDescent="0.25">
      <c r="A533" t="str">
        <f>+_xlfn.CONCAT(Info_Camas[[#This Row],[Bloque]],Info_Camas[[#This Row],[Lado]],Info_Camas[[#This Row],[Cama]])</f>
        <v>03B082</v>
      </c>
      <c r="B533" t="s">
        <v>739</v>
      </c>
      <c r="C533" t="s">
        <v>26</v>
      </c>
      <c r="D533" t="s">
        <v>21</v>
      </c>
      <c r="E533" t="s">
        <v>89</v>
      </c>
      <c r="F533" t="s">
        <v>229</v>
      </c>
      <c r="G533">
        <v>61.155999999999999</v>
      </c>
      <c r="J533" s="6" t="str">
        <f>IFERROR(Info_Camas[[#This Row],[Lineas]]/Info_Camas[[#This Row],[Cortinas]],"Pendiente")</f>
        <v>Pendiente</v>
      </c>
    </row>
    <row r="534" spans="1:10" hidden="1" x14ac:dyDescent="0.25">
      <c r="A534" t="str">
        <f>+_xlfn.CONCAT(Info_Camas[[#This Row],[Bloque]],Info_Camas[[#This Row],[Lado]],Info_Camas[[#This Row],[Cama]])</f>
        <v>03A083</v>
      </c>
      <c r="B534" t="s">
        <v>739</v>
      </c>
      <c r="C534" t="s">
        <v>26</v>
      </c>
      <c r="D534" t="s">
        <v>15</v>
      </c>
      <c r="E534" t="s">
        <v>89</v>
      </c>
      <c r="F534" t="s">
        <v>231</v>
      </c>
      <c r="G534">
        <v>27.175599999999999</v>
      </c>
      <c r="J534" s="6" t="str">
        <f>IFERROR(Info_Camas[[#This Row],[Lineas]]/Info_Camas[[#This Row],[Cortinas]],"Pendiente")</f>
        <v>Pendiente</v>
      </c>
    </row>
    <row r="535" spans="1:10" hidden="1" x14ac:dyDescent="0.25">
      <c r="A535" t="str">
        <f>+_xlfn.CONCAT(Info_Camas[[#This Row],[Bloque]],Info_Camas[[#This Row],[Lado]],Info_Camas[[#This Row],[Cama]])</f>
        <v>03B083</v>
      </c>
      <c r="B535" t="s">
        <v>739</v>
      </c>
      <c r="C535" t="s">
        <v>26</v>
      </c>
      <c r="D535" t="s">
        <v>21</v>
      </c>
      <c r="E535" t="s">
        <v>89</v>
      </c>
      <c r="F535" t="s">
        <v>231</v>
      </c>
      <c r="G535">
        <v>47.560299999999998</v>
      </c>
      <c r="J535" s="6" t="str">
        <f>IFERROR(Info_Camas[[#This Row],[Lineas]]/Info_Camas[[#This Row],[Cortinas]],"Pendiente")</f>
        <v>Pendiente</v>
      </c>
    </row>
    <row r="536" spans="1:10" hidden="1" x14ac:dyDescent="0.25">
      <c r="A536" t="str">
        <f>+_xlfn.CONCAT(Info_Camas[[#This Row],[Bloque]],Info_Camas[[#This Row],[Lado]],Info_Camas[[#This Row],[Cama]])</f>
        <v>03A084</v>
      </c>
      <c r="B536" t="s">
        <v>739</v>
      </c>
      <c r="C536" t="s">
        <v>26</v>
      </c>
      <c r="D536" t="s">
        <v>15</v>
      </c>
      <c r="E536" t="s">
        <v>89</v>
      </c>
      <c r="F536" t="s">
        <v>233</v>
      </c>
      <c r="G536">
        <v>61.155999999999999</v>
      </c>
      <c r="J536" s="6" t="str">
        <f>IFERROR(Info_Camas[[#This Row],[Lineas]]/Info_Camas[[#This Row],[Cortinas]],"Pendiente")</f>
        <v>Pendiente</v>
      </c>
    </row>
    <row r="537" spans="1:10" hidden="1" x14ac:dyDescent="0.25">
      <c r="A537" t="str">
        <f>+_xlfn.CONCAT(Info_Camas[[#This Row],[Bloque]],Info_Camas[[#This Row],[Lado]],Info_Camas[[#This Row],[Cama]])</f>
        <v>03B084</v>
      </c>
      <c r="B537" t="s">
        <v>739</v>
      </c>
      <c r="C537" t="s">
        <v>26</v>
      </c>
      <c r="D537" t="s">
        <v>21</v>
      </c>
      <c r="E537" t="s">
        <v>89</v>
      </c>
      <c r="F537" t="s">
        <v>233</v>
      </c>
      <c r="G537">
        <v>61.155999999999999</v>
      </c>
      <c r="J537" s="6" t="str">
        <f>IFERROR(Info_Camas[[#This Row],[Lineas]]/Info_Camas[[#This Row],[Cortinas]],"Pendiente")</f>
        <v>Pendiente</v>
      </c>
    </row>
    <row r="538" spans="1:10" hidden="1" x14ac:dyDescent="0.25">
      <c r="A538" t="str">
        <f>+_xlfn.CONCAT(Info_Camas[[#This Row],[Bloque]],Info_Camas[[#This Row],[Lado]],Info_Camas[[#This Row],[Cama]])</f>
        <v>03A085</v>
      </c>
      <c r="B538" t="s">
        <v>739</v>
      </c>
      <c r="C538" t="s">
        <v>26</v>
      </c>
      <c r="D538" t="s">
        <v>15</v>
      </c>
      <c r="E538" t="s">
        <v>93</v>
      </c>
      <c r="F538" t="s">
        <v>235</v>
      </c>
      <c r="G538">
        <v>61.155999999999999</v>
      </c>
      <c r="J538" s="6" t="str">
        <f>IFERROR(Info_Camas[[#This Row],[Lineas]]/Info_Camas[[#This Row],[Cortinas]],"Pendiente")</f>
        <v>Pendiente</v>
      </c>
    </row>
    <row r="539" spans="1:10" hidden="1" x14ac:dyDescent="0.25">
      <c r="A539" t="str">
        <f>+_xlfn.CONCAT(Info_Camas[[#This Row],[Bloque]],Info_Camas[[#This Row],[Lado]],Info_Camas[[#This Row],[Cama]])</f>
        <v>03B085</v>
      </c>
      <c r="B539" t="s">
        <v>739</v>
      </c>
      <c r="C539" t="s">
        <v>26</v>
      </c>
      <c r="D539" t="s">
        <v>21</v>
      </c>
      <c r="E539" t="s">
        <v>93</v>
      </c>
      <c r="F539" t="s">
        <v>235</v>
      </c>
      <c r="G539">
        <v>61.155999999999999</v>
      </c>
      <c r="J539" s="6" t="str">
        <f>IFERROR(Info_Camas[[#This Row],[Lineas]]/Info_Camas[[#This Row],[Cortinas]],"Pendiente")</f>
        <v>Pendiente</v>
      </c>
    </row>
    <row r="540" spans="1:10" hidden="1" x14ac:dyDescent="0.25">
      <c r="A540" t="str">
        <f>+_xlfn.CONCAT(Info_Camas[[#This Row],[Bloque]],Info_Camas[[#This Row],[Lado]],Info_Camas[[#This Row],[Cama]])</f>
        <v>03A086</v>
      </c>
      <c r="B540" t="s">
        <v>739</v>
      </c>
      <c r="C540" t="s">
        <v>26</v>
      </c>
      <c r="D540" t="s">
        <v>15</v>
      </c>
      <c r="E540" t="s">
        <v>93</v>
      </c>
      <c r="F540" t="s">
        <v>238</v>
      </c>
      <c r="G540">
        <v>61.155999999999999</v>
      </c>
      <c r="J540" s="6" t="str">
        <f>IFERROR(Info_Camas[[#This Row],[Lineas]]/Info_Camas[[#This Row],[Cortinas]],"Pendiente")</f>
        <v>Pendiente</v>
      </c>
    </row>
    <row r="541" spans="1:10" hidden="1" x14ac:dyDescent="0.25">
      <c r="A541" t="str">
        <f>+_xlfn.CONCAT(Info_Camas[[#This Row],[Bloque]],Info_Camas[[#This Row],[Lado]],Info_Camas[[#This Row],[Cama]])</f>
        <v>03B086</v>
      </c>
      <c r="B541" t="s">
        <v>739</v>
      </c>
      <c r="C541" t="s">
        <v>26</v>
      </c>
      <c r="D541" t="s">
        <v>21</v>
      </c>
      <c r="E541" t="s">
        <v>93</v>
      </c>
      <c r="F541" t="s">
        <v>238</v>
      </c>
      <c r="G541">
        <v>6.7908999999999997</v>
      </c>
      <c r="J541" s="6" t="str">
        <f>IFERROR(Info_Camas[[#This Row],[Lineas]]/Info_Camas[[#This Row],[Cortinas]],"Pendiente")</f>
        <v>Pendiente</v>
      </c>
    </row>
    <row r="542" spans="1:10" hidden="1" x14ac:dyDescent="0.25">
      <c r="A542" t="str">
        <f>+_xlfn.CONCAT(Info_Camas[[#This Row],[Bloque]],Info_Camas[[#This Row],[Lado]],Info_Camas[[#This Row],[Cama]])</f>
        <v>03A087</v>
      </c>
      <c r="B542" t="s">
        <v>739</v>
      </c>
      <c r="C542" t="s">
        <v>26</v>
      </c>
      <c r="D542" t="s">
        <v>15</v>
      </c>
      <c r="E542" t="s">
        <v>93</v>
      </c>
      <c r="F542" t="s">
        <v>240</v>
      </c>
      <c r="G542">
        <v>33.9756</v>
      </c>
      <c r="J542" s="6" t="str">
        <f>IFERROR(Info_Camas[[#This Row],[Lineas]]/Info_Camas[[#This Row],[Cortinas]],"Pendiente")</f>
        <v>Pendiente</v>
      </c>
    </row>
    <row r="543" spans="1:10" hidden="1" x14ac:dyDescent="0.25">
      <c r="A543" t="str">
        <f>+_xlfn.CONCAT(Info_Camas[[#This Row],[Bloque]],Info_Camas[[#This Row],[Lado]],Info_Camas[[#This Row],[Cama]])</f>
        <v>03B087</v>
      </c>
      <c r="B543" t="s">
        <v>739</v>
      </c>
      <c r="C543" t="s">
        <v>26</v>
      </c>
      <c r="D543" t="s">
        <v>21</v>
      </c>
      <c r="E543" t="s">
        <v>93</v>
      </c>
      <c r="F543" t="s">
        <v>240</v>
      </c>
      <c r="G543">
        <v>61.155999999999999</v>
      </c>
      <c r="J543" s="6" t="str">
        <f>IFERROR(Info_Camas[[#This Row],[Lineas]]/Info_Camas[[#This Row],[Cortinas]],"Pendiente")</f>
        <v>Pendiente</v>
      </c>
    </row>
    <row r="544" spans="1:10" hidden="1" x14ac:dyDescent="0.25">
      <c r="A544" t="str">
        <f>+_xlfn.CONCAT(Info_Camas[[#This Row],[Bloque]],Info_Camas[[#This Row],[Lado]],Info_Camas[[#This Row],[Cama]])</f>
        <v>03A088</v>
      </c>
      <c r="B544" t="s">
        <v>739</v>
      </c>
      <c r="C544" t="s">
        <v>26</v>
      </c>
      <c r="D544" t="s">
        <v>15</v>
      </c>
      <c r="E544" t="s">
        <v>93</v>
      </c>
      <c r="F544" t="s">
        <v>242</v>
      </c>
      <c r="G544">
        <v>61.155999999999999</v>
      </c>
      <c r="J544" s="6" t="str">
        <f>IFERROR(Info_Camas[[#This Row],[Lineas]]/Info_Camas[[#This Row],[Cortinas]],"Pendiente")</f>
        <v>Pendiente</v>
      </c>
    </row>
    <row r="545" spans="1:10" hidden="1" x14ac:dyDescent="0.25">
      <c r="A545" t="str">
        <f>+_xlfn.CONCAT(Info_Camas[[#This Row],[Bloque]],Info_Camas[[#This Row],[Lado]],Info_Camas[[#This Row],[Cama]])</f>
        <v>03B088</v>
      </c>
      <c r="B545" t="s">
        <v>739</v>
      </c>
      <c r="C545" t="s">
        <v>26</v>
      </c>
      <c r="D545" t="s">
        <v>21</v>
      </c>
      <c r="E545" t="s">
        <v>93</v>
      </c>
      <c r="F545" t="s">
        <v>242</v>
      </c>
      <c r="G545">
        <v>61.155999999999999</v>
      </c>
      <c r="J545" s="6" t="str">
        <f>IFERROR(Info_Camas[[#This Row],[Lineas]]/Info_Camas[[#This Row],[Cortinas]],"Pendiente")</f>
        <v>Pendiente</v>
      </c>
    </row>
    <row r="546" spans="1:10" hidden="1" x14ac:dyDescent="0.25">
      <c r="A546" t="str">
        <f>+_xlfn.CONCAT(Info_Camas[[#This Row],[Bloque]],Info_Camas[[#This Row],[Lado]],Info_Camas[[#This Row],[Cama]])</f>
        <v>03A089</v>
      </c>
      <c r="B546" t="s">
        <v>739</v>
      </c>
      <c r="C546" t="s">
        <v>26</v>
      </c>
      <c r="D546" t="s">
        <v>15</v>
      </c>
      <c r="E546" t="s">
        <v>96</v>
      </c>
      <c r="F546" t="s">
        <v>244</v>
      </c>
      <c r="G546">
        <v>61.155999999999999</v>
      </c>
      <c r="J546" s="6" t="str">
        <f>IFERROR(Info_Camas[[#This Row],[Lineas]]/Info_Camas[[#This Row],[Cortinas]],"Pendiente")</f>
        <v>Pendiente</v>
      </c>
    </row>
    <row r="547" spans="1:10" hidden="1" x14ac:dyDescent="0.25">
      <c r="A547" t="str">
        <f>+_xlfn.CONCAT(Info_Camas[[#This Row],[Bloque]],Info_Camas[[#This Row],[Lado]],Info_Camas[[#This Row],[Cama]])</f>
        <v>03B089</v>
      </c>
      <c r="B547" t="s">
        <v>739</v>
      </c>
      <c r="C547" t="s">
        <v>26</v>
      </c>
      <c r="D547" t="s">
        <v>21</v>
      </c>
      <c r="E547" t="s">
        <v>96</v>
      </c>
      <c r="F547" t="s">
        <v>244</v>
      </c>
      <c r="G547">
        <v>61.155999999999999</v>
      </c>
      <c r="J547" s="6" t="str">
        <f>IFERROR(Info_Camas[[#This Row],[Lineas]]/Info_Camas[[#This Row],[Cortinas]],"Pendiente")</f>
        <v>Pendiente</v>
      </c>
    </row>
    <row r="548" spans="1:10" hidden="1" x14ac:dyDescent="0.25">
      <c r="A548" t="str">
        <f>+_xlfn.CONCAT(Info_Camas[[#This Row],[Bloque]],Info_Camas[[#This Row],[Lado]],Info_Camas[[#This Row],[Cama]])</f>
        <v>03A090</v>
      </c>
      <c r="B548" t="s">
        <v>739</v>
      </c>
      <c r="C548" t="s">
        <v>26</v>
      </c>
      <c r="D548" t="s">
        <v>15</v>
      </c>
      <c r="E548" t="s">
        <v>96</v>
      </c>
      <c r="F548" t="s">
        <v>246</v>
      </c>
      <c r="G548">
        <v>61.155999999999999</v>
      </c>
      <c r="J548" s="6" t="str">
        <f>IFERROR(Info_Camas[[#This Row],[Lineas]]/Info_Camas[[#This Row],[Cortinas]],"Pendiente")</f>
        <v>Pendiente</v>
      </c>
    </row>
    <row r="549" spans="1:10" hidden="1" x14ac:dyDescent="0.25">
      <c r="A549" t="str">
        <f>+_xlfn.CONCAT(Info_Camas[[#This Row],[Bloque]],Info_Camas[[#This Row],[Lado]],Info_Camas[[#This Row],[Cama]])</f>
        <v>03B090</v>
      </c>
      <c r="B549" t="s">
        <v>739</v>
      </c>
      <c r="C549" t="s">
        <v>26</v>
      </c>
      <c r="D549" t="s">
        <v>21</v>
      </c>
      <c r="E549" t="s">
        <v>96</v>
      </c>
      <c r="F549" t="s">
        <v>246</v>
      </c>
      <c r="G549">
        <v>61.155999999999999</v>
      </c>
      <c r="J549" s="6" t="str">
        <f>IFERROR(Info_Camas[[#This Row],[Lineas]]/Info_Camas[[#This Row],[Cortinas]],"Pendiente")</f>
        <v>Pendiente</v>
      </c>
    </row>
    <row r="550" spans="1:10" hidden="1" x14ac:dyDescent="0.25">
      <c r="A550" t="str">
        <f>+_xlfn.CONCAT(Info_Camas[[#This Row],[Bloque]],Info_Camas[[#This Row],[Lado]],Info_Camas[[#This Row],[Cama]])</f>
        <v>03A091</v>
      </c>
      <c r="B550" t="s">
        <v>739</v>
      </c>
      <c r="C550" t="s">
        <v>26</v>
      </c>
      <c r="D550" t="s">
        <v>15</v>
      </c>
      <c r="E550" t="s">
        <v>96</v>
      </c>
      <c r="F550" t="s">
        <v>248</v>
      </c>
      <c r="G550">
        <v>61.155999999999999</v>
      </c>
      <c r="J550" s="6" t="str">
        <f>IFERROR(Info_Camas[[#This Row],[Lineas]]/Info_Camas[[#This Row],[Cortinas]],"Pendiente")</f>
        <v>Pendiente</v>
      </c>
    </row>
    <row r="551" spans="1:10" hidden="1" x14ac:dyDescent="0.25">
      <c r="A551" t="str">
        <f>+_xlfn.CONCAT(Info_Camas[[#This Row],[Bloque]],Info_Camas[[#This Row],[Lado]],Info_Camas[[#This Row],[Cama]])</f>
        <v>03B091</v>
      </c>
      <c r="B551" t="s">
        <v>739</v>
      </c>
      <c r="C551" t="s">
        <v>26</v>
      </c>
      <c r="D551" t="s">
        <v>21</v>
      </c>
      <c r="E551" t="s">
        <v>96</v>
      </c>
      <c r="F551" t="s">
        <v>248</v>
      </c>
      <c r="G551">
        <v>61.155999999999999</v>
      </c>
      <c r="J551" s="6" t="str">
        <f>IFERROR(Info_Camas[[#This Row],[Lineas]]/Info_Camas[[#This Row],[Cortinas]],"Pendiente")</f>
        <v>Pendiente</v>
      </c>
    </row>
    <row r="552" spans="1:10" hidden="1" x14ac:dyDescent="0.25">
      <c r="A552" t="str">
        <f>+_xlfn.CONCAT(Info_Camas[[#This Row],[Bloque]],Info_Camas[[#This Row],[Lado]],Info_Camas[[#This Row],[Cama]])</f>
        <v>03A092</v>
      </c>
      <c r="B552" t="s">
        <v>739</v>
      </c>
      <c r="C552" t="s">
        <v>26</v>
      </c>
      <c r="D552" t="s">
        <v>15</v>
      </c>
      <c r="E552" t="s">
        <v>96</v>
      </c>
      <c r="F552" t="s">
        <v>250</v>
      </c>
      <c r="G552">
        <v>61.155999999999999</v>
      </c>
      <c r="J552" s="6" t="str">
        <f>IFERROR(Info_Camas[[#This Row],[Lineas]]/Info_Camas[[#This Row],[Cortinas]],"Pendiente")</f>
        <v>Pendiente</v>
      </c>
    </row>
    <row r="553" spans="1:10" hidden="1" x14ac:dyDescent="0.25">
      <c r="A553" t="str">
        <f>+_xlfn.CONCAT(Info_Camas[[#This Row],[Bloque]],Info_Camas[[#This Row],[Lado]],Info_Camas[[#This Row],[Cama]])</f>
        <v>03B092</v>
      </c>
      <c r="B553" t="s">
        <v>739</v>
      </c>
      <c r="C553" t="s">
        <v>26</v>
      </c>
      <c r="D553" t="s">
        <v>21</v>
      </c>
      <c r="E553" t="s">
        <v>96</v>
      </c>
      <c r="F553" t="s">
        <v>250</v>
      </c>
      <c r="G553">
        <v>61.155999999999999</v>
      </c>
      <c r="J553" s="6" t="str">
        <f>IFERROR(Info_Camas[[#This Row],[Lineas]]/Info_Camas[[#This Row],[Cortinas]],"Pendiente")</f>
        <v>Pendiente</v>
      </c>
    </row>
    <row r="554" spans="1:10" hidden="1" x14ac:dyDescent="0.25">
      <c r="A554" t="str">
        <f>+_xlfn.CONCAT(Info_Camas[[#This Row],[Bloque]],Info_Camas[[#This Row],[Lado]],Info_Camas[[#This Row],[Cama]])</f>
        <v>03A093</v>
      </c>
      <c r="B554" t="s">
        <v>739</v>
      </c>
      <c r="C554" t="s">
        <v>26</v>
      </c>
      <c r="D554" t="s">
        <v>15</v>
      </c>
      <c r="E554" t="s">
        <v>99</v>
      </c>
      <c r="F554" t="s">
        <v>252</v>
      </c>
      <c r="G554">
        <v>61.155999999999999</v>
      </c>
      <c r="J554" s="6" t="str">
        <f>IFERROR(Info_Camas[[#This Row],[Lineas]]/Info_Camas[[#This Row],[Cortinas]],"Pendiente")</f>
        <v>Pendiente</v>
      </c>
    </row>
    <row r="555" spans="1:10" hidden="1" x14ac:dyDescent="0.25">
      <c r="A555" t="str">
        <f>+_xlfn.CONCAT(Info_Camas[[#This Row],[Bloque]],Info_Camas[[#This Row],[Lado]],Info_Camas[[#This Row],[Cama]])</f>
        <v>03B093</v>
      </c>
      <c r="B555" t="s">
        <v>739</v>
      </c>
      <c r="C555" t="s">
        <v>26</v>
      </c>
      <c r="D555" t="s">
        <v>21</v>
      </c>
      <c r="E555" t="s">
        <v>99</v>
      </c>
      <c r="F555" t="s">
        <v>252</v>
      </c>
      <c r="G555">
        <v>61.155999999999999</v>
      </c>
      <c r="J555" s="6" t="str">
        <f>IFERROR(Info_Camas[[#This Row],[Lineas]]/Info_Camas[[#This Row],[Cortinas]],"Pendiente")</f>
        <v>Pendiente</v>
      </c>
    </row>
    <row r="556" spans="1:10" hidden="1" x14ac:dyDescent="0.25">
      <c r="A556" t="str">
        <f>+_xlfn.CONCAT(Info_Camas[[#This Row],[Bloque]],Info_Camas[[#This Row],[Lado]],Info_Camas[[#This Row],[Cama]])</f>
        <v>03A094</v>
      </c>
      <c r="B556" t="s">
        <v>739</v>
      </c>
      <c r="C556" t="s">
        <v>26</v>
      </c>
      <c r="D556" t="s">
        <v>15</v>
      </c>
      <c r="E556" t="s">
        <v>99</v>
      </c>
      <c r="F556" t="s">
        <v>254</v>
      </c>
      <c r="G556">
        <v>61.155999999999999</v>
      </c>
      <c r="J556" s="6" t="str">
        <f>IFERROR(Info_Camas[[#This Row],[Lineas]]/Info_Camas[[#This Row],[Cortinas]],"Pendiente")</f>
        <v>Pendiente</v>
      </c>
    </row>
    <row r="557" spans="1:10" hidden="1" x14ac:dyDescent="0.25">
      <c r="A557" t="str">
        <f>+_xlfn.CONCAT(Info_Camas[[#This Row],[Bloque]],Info_Camas[[#This Row],[Lado]],Info_Camas[[#This Row],[Cama]])</f>
        <v>03B094</v>
      </c>
      <c r="B557" t="s">
        <v>739</v>
      </c>
      <c r="C557" t="s">
        <v>26</v>
      </c>
      <c r="D557" t="s">
        <v>21</v>
      </c>
      <c r="E557" t="s">
        <v>99</v>
      </c>
      <c r="F557" t="s">
        <v>254</v>
      </c>
      <c r="G557">
        <v>61.155999999999999</v>
      </c>
      <c r="J557" s="6" t="str">
        <f>IFERROR(Info_Camas[[#This Row],[Lineas]]/Info_Camas[[#This Row],[Cortinas]],"Pendiente")</f>
        <v>Pendiente</v>
      </c>
    </row>
    <row r="558" spans="1:10" hidden="1" x14ac:dyDescent="0.25">
      <c r="A558" t="str">
        <f>+_xlfn.CONCAT(Info_Camas[[#This Row],[Bloque]],Info_Camas[[#This Row],[Lado]],Info_Camas[[#This Row],[Cama]])</f>
        <v>03A095</v>
      </c>
      <c r="B558" t="s">
        <v>739</v>
      </c>
      <c r="C558" t="s">
        <v>26</v>
      </c>
      <c r="D558" t="s">
        <v>15</v>
      </c>
      <c r="E558" t="s">
        <v>99</v>
      </c>
      <c r="F558" t="s">
        <v>256</v>
      </c>
      <c r="G558">
        <v>61.155999999999999</v>
      </c>
      <c r="J558" s="6" t="str">
        <f>IFERROR(Info_Camas[[#This Row],[Lineas]]/Info_Camas[[#This Row],[Cortinas]],"Pendiente")</f>
        <v>Pendiente</v>
      </c>
    </row>
    <row r="559" spans="1:10" hidden="1" x14ac:dyDescent="0.25">
      <c r="A559" t="str">
        <f>+_xlfn.CONCAT(Info_Camas[[#This Row],[Bloque]],Info_Camas[[#This Row],[Lado]],Info_Camas[[#This Row],[Cama]])</f>
        <v>03B095</v>
      </c>
      <c r="B559" t="s">
        <v>739</v>
      </c>
      <c r="C559" t="s">
        <v>26</v>
      </c>
      <c r="D559" t="s">
        <v>21</v>
      </c>
      <c r="E559" t="s">
        <v>99</v>
      </c>
      <c r="F559" t="s">
        <v>256</v>
      </c>
      <c r="G559">
        <v>61.155999999999999</v>
      </c>
      <c r="J559" s="6" t="str">
        <f>IFERROR(Info_Camas[[#This Row],[Lineas]]/Info_Camas[[#This Row],[Cortinas]],"Pendiente")</f>
        <v>Pendiente</v>
      </c>
    </row>
    <row r="560" spans="1:10" hidden="1" x14ac:dyDescent="0.25">
      <c r="A560" t="str">
        <f>+_xlfn.CONCAT(Info_Camas[[#This Row],[Bloque]],Info_Camas[[#This Row],[Lado]],Info_Camas[[#This Row],[Cama]])</f>
        <v>03A096</v>
      </c>
      <c r="B560" t="s">
        <v>739</v>
      </c>
      <c r="C560" t="s">
        <v>26</v>
      </c>
      <c r="D560" t="s">
        <v>15</v>
      </c>
      <c r="E560" t="s">
        <v>99</v>
      </c>
      <c r="F560" t="s">
        <v>258</v>
      </c>
      <c r="G560">
        <v>61.155999999999999</v>
      </c>
      <c r="J560" s="6" t="str">
        <f>IFERROR(Info_Camas[[#This Row],[Lineas]]/Info_Camas[[#This Row],[Cortinas]],"Pendiente")</f>
        <v>Pendiente</v>
      </c>
    </row>
    <row r="561" spans="1:10" hidden="1" x14ac:dyDescent="0.25">
      <c r="A561" t="str">
        <f>+_xlfn.CONCAT(Info_Camas[[#This Row],[Bloque]],Info_Camas[[#This Row],[Lado]],Info_Camas[[#This Row],[Cama]])</f>
        <v>03B096</v>
      </c>
      <c r="B561" t="s">
        <v>739</v>
      </c>
      <c r="C561" t="s">
        <v>26</v>
      </c>
      <c r="D561" t="s">
        <v>21</v>
      </c>
      <c r="E561" t="s">
        <v>99</v>
      </c>
      <c r="F561" t="s">
        <v>258</v>
      </c>
      <c r="G561">
        <v>61.155999999999999</v>
      </c>
      <c r="J561" s="6" t="str">
        <f>IFERROR(Info_Camas[[#This Row],[Lineas]]/Info_Camas[[#This Row],[Cortinas]],"Pendiente")</f>
        <v>Pendiente</v>
      </c>
    </row>
    <row r="562" spans="1:10" hidden="1" x14ac:dyDescent="0.25">
      <c r="A562" t="str">
        <f>+_xlfn.CONCAT(Info_Camas[[#This Row],[Bloque]],Info_Camas[[#This Row],[Lado]],Info_Camas[[#This Row],[Cama]])</f>
        <v>03A097</v>
      </c>
      <c r="B562" t="s">
        <v>739</v>
      </c>
      <c r="C562" t="s">
        <v>26</v>
      </c>
      <c r="D562" t="s">
        <v>15</v>
      </c>
      <c r="E562" t="s">
        <v>102</v>
      </c>
      <c r="F562" t="s">
        <v>260</v>
      </c>
      <c r="G562">
        <v>48.924999999999997</v>
      </c>
      <c r="J562" s="6" t="str">
        <f>IFERROR(Info_Camas[[#This Row],[Lineas]]/Info_Camas[[#This Row],[Cortinas]],"Pendiente")</f>
        <v>Pendiente</v>
      </c>
    </row>
    <row r="563" spans="1:10" hidden="1" x14ac:dyDescent="0.25">
      <c r="A563" t="str">
        <f>+_xlfn.CONCAT(Info_Camas[[#This Row],[Bloque]],Info_Camas[[#This Row],[Lado]],Info_Camas[[#This Row],[Cama]])</f>
        <v>03B097</v>
      </c>
      <c r="B563" t="s">
        <v>739</v>
      </c>
      <c r="C563" t="s">
        <v>26</v>
      </c>
      <c r="D563" t="s">
        <v>21</v>
      </c>
      <c r="E563" t="s">
        <v>102</v>
      </c>
      <c r="F563" t="s">
        <v>260</v>
      </c>
      <c r="G563">
        <v>48.924999999999997</v>
      </c>
      <c r="J563" s="6" t="str">
        <f>IFERROR(Info_Camas[[#This Row],[Lineas]]/Info_Camas[[#This Row],[Cortinas]],"Pendiente")</f>
        <v>Pendiente</v>
      </c>
    </row>
    <row r="564" spans="1:10" hidden="1" x14ac:dyDescent="0.25">
      <c r="A564" t="str">
        <f>+_xlfn.CONCAT(Info_Camas[[#This Row],[Bloque]],Info_Camas[[#This Row],[Lado]],Info_Camas[[#This Row],[Cama]])</f>
        <v>03A098</v>
      </c>
      <c r="B564" t="s">
        <v>739</v>
      </c>
      <c r="C564" t="s">
        <v>26</v>
      </c>
      <c r="D564" t="s">
        <v>15</v>
      </c>
      <c r="E564" t="s">
        <v>102</v>
      </c>
      <c r="F564" t="s">
        <v>262</v>
      </c>
      <c r="G564">
        <v>40.1404</v>
      </c>
      <c r="J564" s="6" t="str">
        <f>IFERROR(Info_Camas[[#This Row],[Lineas]]/Info_Camas[[#This Row],[Cortinas]],"Pendiente")</f>
        <v>Pendiente</v>
      </c>
    </row>
    <row r="565" spans="1:10" hidden="1" x14ac:dyDescent="0.25">
      <c r="A565" t="str">
        <f>+_xlfn.CONCAT(Info_Camas[[#This Row],[Bloque]],Info_Camas[[#This Row],[Lado]],Info_Camas[[#This Row],[Cama]])</f>
        <v>03B098</v>
      </c>
      <c r="B565" t="s">
        <v>739</v>
      </c>
      <c r="C565" t="s">
        <v>26</v>
      </c>
      <c r="D565" t="s">
        <v>21</v>
      </c>
      <c r="E565" t="s">
        <v>102</v>
      </c>
      <c r="F565" t="s">
        <v>262</v>
      </c>
      <c r="G565">
        <v>48.924999999999997</v>
      </c>
      <c r="J565" s="6" t="str">
        <f>IFERROR(Info_Camas[[#This Row],[Lineas]]/Info_Camas[[#This Row],[Cortinas]],"Pendiente")</f>
        <v>Pendiente</v>
      </c>
    </row>
    <row r="566" spans="1:10" hidden="1" x14ac:dyDescent="0.25">
      <c r="A566" t="str">
        <f>+_xlfn.CONCAT(Info_Camas[[#This Row],[Bloque]],Info_Camas[[#This Row],[Lado]],Info_Camas[[#This Row],[Cama]])</f>
        <v>03A099</v>
      </c>
      <c r="B566" t="s">
        <v>739</v>
      </c>
      <c r="C566" t="s">
        <v>26</v>
      </c>
      <c r="D566" t="s">
        <v>15</v>
      </c>
      <c r="E566" t="s">
        <v>102</v>
      </c>
      <c r="F566" t="s">
        <v>264</v>
      </c>
      <c r="G566">
        <v>48.924999999999997</v>
      </c>
      <c r="J566" s="6" t="str">
        <f>IFERROR(Info_Camas[[#This Row],[Lineas]]/Info_Camas[[#This Row],[Cortinas]],"Pendiente")</f>
        <v>Pendiente</v>
      </c>
    </row>
    <row r="567" spans="1:10" hidden="1" x14ac:dyDescent="0.25">
      <c r="A567" t="str">
        <f>+_xlfn.CONCAT(Info_Camas[[#This Row],[Bloque]],Info_Camas[[#This Row],[Lado]],Info_Camas[[#This Row],[Cama]])</f>
        <v>03B099</v>
      </c>
      <c r="B567" t="s">
        <v>739</v>
      </c>
      <c r="C567" t="s">
        <v>26</v>
      </c>
      <c r="D567" t="s">
        <v>21</v>
      </c>
      <c r="E567" t="s">
        <v>102</v>
      </c>
      <c r="F567" t="s">
        <v>264</v>
      </c>
      <c r="G567">
        <v>48.924999999999997</v>
      </c>
      <c r="J567" s="6" t="str">
        <f>IFERROR(Info_Camas[[#This Row],[Lineas]]/Info_Camas[[#This Row],[Cortinas]],"Pendiente")</f>
        <v>Pendiente</v>
      </c>
    </row>
    <row r="568" spans="1:10" hidden="1" x14ac:dyDescent="0.25">
      <c r="A568" t="str">
        <f>+_xlfn.CONCAT(Info_Camas[[#This Row],[Bloque]],Info_Camas[[#This Row],[Lado]],Info_Camas[[#This Row],[Cama]])</f>
        <v>03A100</v>
      </c>
      <c r="B568" t="s">
        <v>739</v>
      </c>
      <c r="C568" t="s">
        <v>26</v>
      </c>
      <c r="D568" t="s">
        <v>15</v>
      </c>
      <c r="E568" t="s">
        <v>102</v>
      </c>
      <c r="F568" t="s">
        <v>266</v>
      </c>
      <c r="G568">
        <v>48.924999999999997</v>
      </c>
      <c r="J568" s="6" t="str">
        <f>IFERROR(Info_Camas[[#This Row],[Lineas]]/Info_Camas[[#This Row],[Cortinas]],"Pendiente")</f>
        <v>Pendiente</v>
      </c>
    </row>
    <row r="569" spans="1:10" hidden="1" x14ac:dyDescent="0.25">
      <c r="A569" t="str">
        <f>+_xlfn.CONCAT(Info_Camas[[#This Row],[Bloque]],Info_Camas[[#This Row],[Lado]],Info_Camas[[#This Row],[Cama]])</f>
        <v>03B100</v>
      </c>
      <c r="B569" t="s">
        <v>739</v>
      </c>
      <c r="C569" t="s">
        <v>26</v>
      </c>
      <c r="D569" t="s">
        <v>21</v>
      </c>
      <c r="E569" t="s">
        <v>102</v>
      </c>
      <c r="F569" t="s">
        <v>266</v>
      </c>
      <c r="G569">
        <v>48.924999999999997</v>
      </c>
      <c r="J569" s="6" t="str">
        <f>IFERROR(Info_Camas[[#This Row],[Lineas]]/Info_Camas[[#This Row],[Cortinas]],"Pendiente")</f>
        <v>Pendiente</v>
      </c>
    </row>
    <row r="570" spans="1:10" x14ac:dyDescent="0.25">
      <c r="A570" t="str">
        <f>+_xlfn.CONCAT(Info_Camas[[#This Row],[Bloque]],Info_Camas[[#This Row],[Lado]],Info_Camas[[#This Row],[Cama]])</f>
        <v>04A001</v>
      </c>
      <c r="B570" t="s">
        <v>739</v>
      </c>
      <c r="C570" t="s">
        <v>30</v>
      </c>
      <c r="D570" t="s">
        <v>15</v>
      </c>
      <c r="E570" t="s">
        <v>14</v>
      </c>
      <c r="F570" t="s">
        <v>16</v>
      </c>
      <c r="G570">
        <v>54.933</v>
      </c>
      <c r="H570" s="9">
        <v>9</v>
      </c>
      <c r="I570" s="9">
        <v>197</v>
      </c>
      <c r="J570" s="6">
        <f>IFERROR(Info_Camas[[#This Row],[Lineas]]/Info_Camas[[#This Row],[Cortinas]],"Pendiente")</f>
        <v>21.888888888888889</v>
      </c>
    </row>
    <row r="571" spans="1:10" x14ac:dyDescent="0.25">
      <c r="A571" t="str">
        <f>+_xlfn.CONCAT(Info_Camas[[#This Row],[Bloque]],Info_Camas[[#This Row],[Lado]],Info_Camas[[#This Row],[Cama]])</f>
        <v>04B001</v>
      </c>
      <c r="B571" t="s">
        <v>739</v>
      </c>
      <c r="C571" t="s">
        <v>30</v>
      </c>
      <c r="D571" t="s">
        <v>21</v>
      </c>
      <c r="E571" t="s">
        <v>14</v>
      </c>
      <c r="F571" t="s">
        <v>16</v>
      </c>
      <c r="G571">
        <v>54.933</v>
      </c>
      <c r="H571" s="9">
        <v>9</v>
      </c>
      <c r="I571" s="9">
        <v>196</v>
      </c>
      <c r="J571" s="6">
        <f>IFERROR(Info_Camas[[#This Row],[Lineas]]/Info_Camas[[#This Row],[Cortinas]],"Pendiente")</f>
        <v>21.777777777777779</v>
      </c>
    </row>
    <row r="572" spans="1:10" x14ac:dyDescent="0.25">
      <c r="A572" t="str">
        <f>+_xlfn.CONCAT(Info_Camas[[#This Row],[Bloque]],Info_Camas[[#This Row],[Lado]],Info_Camas[[#This Row],[Cama]])</f>
        <v>04A002</v>
      </c>
      <c r="B572" t="s">
        <v>739</v>
      </c>
      <c r="C572" t="s">
        <v>30</v>
      </c>
      <c r="D572" t="s">
        <v>15</v>
      </c>
      <c r="E572" t="s">
        <v>14</v>
      </c>
      <c r="F572" t="s">
        <v>22</v>
      </c>
      <c r="G572">
        <v>30.5228</v>
      </c>
      <c r="H572" s="9">
        <v>9</v>
      </c>
      <c r="I572" s="9">
        <v>197</v>
      </c>
      <c r="J572" s="6">
        <f>IFERROR(Info_Camas[[#This Row],[Lineas]]/Info_Camas[[#This Row],[Cortinas]],"Pendiente")</f>
        <v>21.888888888888889</v>
      </c>
    </row>
    <row r="573" spans="1:10" x14ac:dyDescent="0.25">
      <c r="A573" t="str">
        <f>+_xlfn.CONCAT(Info_Camas[[#This Row],[Bloque]],Info_Camas[[#This Row],[Lado]],Info_Camas[[#This Row],[Cama]])</f>
        <v>04B002</v>
      </c>
      <c r="B573" t="s">
        <v>739</v>
      </c>
      <c r="C573" t="s">
        <v>30</v>
      </c>
      <c r="D573" t="s">
        <v>21</v>
      </c>
      <c r="E573" t="s">
        <v>14</v>
      </c>
      <c r="F573" t="s">
        <v>22</v>
      </c>
      <c r="G573">
        <v>54.933</v>
      </c>
      <c r="H573" s="9">
        <v>9</v>
      </c>
      <c r="I573" s="9">
        <v>197</v>
      </c>
      <c r="J573" s="6">
        <f>IFERROR(Info_Camas[[#This Row],[Lineas]]/Info_Camas[[#This Row],[Cortinas]],"Pendiente")</f>
        <v>21.888888888888889</v>
      </c>
    </row>
    <row r="574" spans="1:10" x14ac:dyDescent="0.25">
      <c r="A574" t="str">
        <f>+_xlfn.CONCAT(Info_Camas[[#This Row],[Bloque]],Info_Camas[[#This Row],[Lado]],Info_Camas[[#This Row],[Cama]])</f>
        <v>04A003</v>
      </c>
      <c r="B574" t="s">
        <v>739</v>
      </c>
      <c r="C574" t="s">
        <v>30</v>
      </c>
      <c r="D574" t="s">
        <v>15</v>
      </c>
      <c r="E574" t="s">
        <v>14</v>
      </c>
      <c r="F574" t="s">
        <v>27</v>
      </c>
      <c r="G574">
        <v>54.933</v>
      </c>
      <c r="H574" s="9">
        <v>9</v>
      </c>
      <c r="I574" s="9">
        <v>198</v>
      </c>
      <c r="J574" s="6">
        <f>IFERROR(Info_Camas[[#This Row],[Lineas]]/Info_Camas[[#This Row],[Cortinas]],"Pendiente")</f>
        <v>22</v>
      </c>
    </row>
    <row r="575" spans="1:10" x14ac:dyDescent="0.25">
      <c r="A575" t="str">
        <f>+_xlfn.CONCAT(Info_Camas[[#This Row],[Bloque]],Info_Camas[[#This Row],[Lado]],Info_Camas[[#This Row],[Cama]])</f>
        <v>04B003</v>
      </c>
      <c r="B575" t="s">
        <v>739</v>
      </c>
      <c r="C575" t="s">
        <v>30</v>
      </c>
      <c r="D575" t="s">
        <v>21</v>
      </c>
      <c r="E575" t="s">
        <v>14</v>
      </c>
      <c r="F575" t="s">
        <v>27</v>
      </c>
      <c r="G575">
        <v>54.933</v>
      </c>
      <c r="H575" s="9">
        <v>9</v>
      </c>
      <c r="I575" s="9">
        <v>197</v>
      </c>
      <c r="J575" s="6">
        <f>IFERROR(Info_Camas[[#This Row],[Lineas]]/Info_Camas[[#This Row],[Cortinas]],"Pendiente")</f>
        <v>21.888888888888889</v>
      </c>
    </row>
    <row r="576" spans="1:10" x14ac:dyDescent="0.25">
      <c r="A576" t="str">
        <f>+_xlfn.CONCAT(Info_Camas[[#This Row],[Bloque]],Info_Camas[[#This Row],[Lado]],Info_Camas[[#This Row],[Cama]])</f>
        <v>04A004</v>
      </c>
      <c r="B576" t="s">
        <v>739</v>
      </c>
      <c r="C576" t="s">
        <v>30</v>
      </c>
      <c r="D576" t="s">
        <v>15</v>
      </c>
      <c r="E576" t="s">
        <v>14</v>
      </c>
      <c r="F576" t="s">
        <v>31</v>
      </c>
      <c r="G576">
        <v>15.2592</v>
      </c>
      <c r="H576" s="9">
        <v>9</v>
      </c>
      <c r="I576" s="9">
        <v>196</v>
      </c>
      <c r="J576" s="6">
        <f>IFERROR(Info_Camas[[#This Row],[Lineas]]/Info_Camas[[#This Row],[Cortinas]],"Pendiente")</f>
        <v>21.777777777777779</v>
      </c>
    </row>
    <row r="577" spans="1:10" x14ac:dyDescent="0.25">
      <c r="A577" t="str">
        <f>+_xlfn.CONCAT(Info_Camas[[#This Row],[Bloque]],Info_Camas[[#This Row],[Lado]],Info_Camas[[#This Row],[Cama]])</f>
        <v>04B004</v>
      </c>
      <c r="B577" t="s">
        <v>739</v>
      </c>
      <c r="C577" t="s">
        <v>30</v>
      </c>
      <c r="D577" t="s">
        <v>21</v>
      </c>
      <c r="E577" t="s">
        <v>14</v>
      </c>
      <c r="F577" t="s">
        <v>31</v>
      </c>
      <c r="G577">
        <v>54.933</v>
      </c>
      <c r="H577" s="9">
        <v>9</v>
      </c>
      <c r="I577" s="9">
        <v>198</v>
      </c>
      <c r="J577" s="6">
        <f>IFERROR(Info_Camas[[#This Row],[Lineas]]/Info_Camas[[#This Row],[Cortinas]],"Pendiente")</f>
        <v>22</v>
      </c>
    </row>
    <row r="578" spans="1:10" x14ac:dyDescent="0.25">
      <c r="A578" t="str">
        <f>+_xlfn.CONCAT(Info_Camas[[#This Row],[Bloque]],Info_Camas[[#This Row],[Lado]],Info_Camas[[#This Row],[Cama]])</f>
        <v>04A005</v>
      </c>
      <c r="B578" t="s">
        <v>739</v>
      </c>
      <c r="C578" t="s">
        <v>30</v>
      </c>
      <c r="D578" t="s">
        <v>15</v>
      </c>
      <c r="E578" t="s">
        <v>20</v>
      </c>
      <c r="F578" t="s">
        <v>35</v>
      </c>
      <c r="G578">
        <v>54.933</v>
      </c>
      <c r="H578" s="9">
        <v>9</v>
      </c>
      <c r="I578" s="9">
        <v>198</v>
      </c>
      <c r="J578" s="6">
        <f>IFERROR(Info_Camas[[#This Row],[Lineas]]/Info_Camas[[#This Row],[Cortinas]],"Pendiente")</f>
        <v>22</v>
      </c>
    </row>
    <row r="579" spans="1:10" x14ac:dyDescent="0.25">
      <c r="A579" t="str">
        <f>+_xlfn.CONCAT(Info_Camas[[#This Row],[Bloque]],Info_Camas[[#This Row],[Lado]],Info_Camas[[#This Row],[Cama]])</f>
        <v>04B005</v>
      </c>
      <c r="B579" t="s">
        <v>739</v>
      </c>
      <c r="C579" t="s">
        <v>30</v>
      </c>
      <c r="D579" t="s">
        <v>21</v>
      </c>
      <c r="E579" t="s">
        <v>20</v>
      </c>
      <c r="F579" t="s">
        <v>35</v>
      </c>
      <c r="G579">
        <v>15.263</v>
      </c>
      <c r="H579" s="9">
        <v>9</v>
      </c>
      <c r="I579" s="9">
        <v>198</v>
      </c>
      <c r="J579" s="6">
        <f>IFERROR(Info_Camas[[#This Row],[Lineas]]/Info_Camas[[#This Row],[Cortinas]],"Pendiente")</f>
        <v>22</v>
      </c>
    </row>
    <row r="580" spans="1:10" x14ac:dyDescent="0.25">
      <c r="A580" t="str">
        <f>+_xlfn.CONCAT(Info_Camas[[#This Row],[Bloque]],Info_Camas[[#This Row],[Lado]],Info_Camas[[#This Row],[Cama]])</f>
        <v>04A006</v>
      </c>
      <c r="B580" t="s">
        <v>739</v>
      </c>
      <c r="C580" t="s">
        <v>30</v>
      </c>
      <c r="D580" t="s">
        <v>15</v>
      </c>
      <c r="E580" t="s">
        <v>20</v>
      </c>
      <c r="F580" t="s">
        <v>40</v>
      </c>
      <c r="G580">
        <v>23.145700000000001</v>
      </c>
      <c r="H580" s="9">
        <v>9</v>
      </c>
      <c r="I580" s="9">
        <v>195</v>
      </c>
      <c r="J580" s="6">
        <f>IFERROR(Info_Camas[[#This Row],[Lineas]]/Info_Camas[[#This Row],[Cortinas]],"Pendiente")</f>
        <v>21.666666666666668</v>
      </c>
    </row>
    <row r="581" spans="1:10" x14ac:dyDescent="0.25">
      <c r="A581" t="str">
        <f>+_xlfn.CONCAT(Info_Camas[[#This Row],[Bloque]],Info_Camas[[#This Row],[Lado]],Info_Camas[[#This Row],[Cama]])</f>
        <v>04B006</v>
      </c>
      <c r="B581" t="s">
        <v>739</v>
      </c>
      <c r="C581" t="s">
        <v>30</v>
      </c>
      <c r="D581" t="s">
        <v>21</v>
      </c>
      <c r="E581" t="s">
        <v>20</v>
      </c>
      <c r="F581" t="s">
        <v>40</v>
      </c>
      <c r="G581">
        <v>7.9840999999999998</v>
      </c>
      <c r="H581" s="9">
        <v>9</v>
      </c>
      <c r="I581" s="9">
        <v>200</v>
      </c>
      <c r="J581" s="6">
        <f>IFERROR(Info_Camas[[#This Row],[Lineas]]/Info_Camas[[#This Row],[Cortinas]],"Pendiente")</f>
        <v>22.222222222222221</v>
      </c>
    </row>
    <row r="582" spans="1:10" x14ac:dyDescent="0.25">
      <c r="A582" t="str">
        <f>+_xlfn.CONCAT(Info_Camas[[#This Row],[Bloque]],Info_Camas[[#This Row],[Lado]],Info_Camas[[#This Row],[Cama]])</f>
        <v>04A007</v>
      </c>
      <c r="B582" t="s">
        <v>739</v>
      </c>
      <c r="C582" t="s">
        <v>30</v>
      </c>
      <c r="D582" t="s">
        <v>15</v>
      </c>
      <c r="E582" t="s">
        <v>20</v>
      </c>
      <c r="F582" t="s">
        <v>43</v>
      </c>
      <c r="G582">
        <v>42.7271</v>
      </c>
      <c r="H582" s="9">
        <v>9</v>
      </c>
      <c r="I582" s="9">
        <v>197</v>
      </c>
      <c r="J582" s="6">
        <f>IFERROR(Info_Camas[[#This Row],[Lineas]]/Info_Camas[[#This Row],[Cortinas]],"Pendiente")</f>
        <v>21.888888888888889</v>
      </c>
    </row>
    <row r="583" spans="1:10" x14ac:dyDescent="0.25">
      <c r="A583" t="str">
        <f>+_xlfn.CONCAT(Info_Camas[[#This Row],[Bloque]],Info_Camas[[#This Row],[Lado]],Info_Camas[[#This Row],[Cama]])</f>
        <v>04B007</v>
      </c>
      <c r="B583" t="s">
        <v>739</v>
      </c>
      <c r="C583" t="s">
        <v>30</v>
      </c>
      <c r="D583" t="s">
        <v>21</v>
      </c>
      <c r="E583" t="s">
        <v>20</v>
      </c>
      <c r="F583" t="s">
        <v>43</v>
      </c>
      <c r="G583">
        <v>54.933</v>
      </c>
      <c r="H583" s="9">
        <v>9</v>
      </c>
      <c r="I583" s="9">
        <v>197</v>
      </c>
      <c r="J583" s="6">
        <f>IFERROR(Info_Camas[[#This Row],[Lineas]]/Info_Camas[[#This Row],[Cortinas]],"Pendiente")</f>
        <v>21.888888888888889</v>
      </c>
    </row>
    <row r="584" spans="1:10" x14ac:dyDescent="0.25">
      <c r="A584" t="str">
        <f>+_xlfn.CONCAT(Info_Camas[[#This Row],[Bloque]],Info_Camas[[#This Row],[Lado]],Info_Camas[[#This Row],[Cama]])</f>
        <v>04A008</v>
      </c>
      <c r="B584" t="s">
        <v>739</v>
      </c>
      <c r="C584" t="s">
        <v>30</v>
      </c>
      <c r="D584" t="s">
        <v>15</v>
      </c>
      <c r="E584" t="s">
        <v>20</v>
      </c>
      <c r="F584" t="s">
        <v>48</v>
      </c>
      <c r="G584">
        <v>54.933</v>
      </c>
      <c r="H584" s="9">
        <v>9</v>
      </c>
      <c r="I584" s="9">
        <v>197</v>
      </c>
      <c r="J584" s="6">
        <f>IFERROR(Info_Camas[[#This Row],[Lineas]]/Info_Camas[[#This Row],[Cortinas]],"Pendiente")</f>
        <v>21.888888888888889</v>
      </c>
    </row>
    <row r="585" spans="1:10" x14ac:dyDescent="0.25">
      <c r="A585" t="str">
        <f>+_xlfn.CONCAT(Info_Camas[[#This Row],[Bloque]],Info_Camas[[#This Row],[Lado]],Info_Camas[[#This Row],[Cama]])</f>
        <v>04B008</v>
      </c>
      <c r="B585" t="s">
        <v>739</v>
      </c>
      <c r="C585" t="s">
        <v>30</v>
      </c>
      <c r="D585" t="s">
        <v>21</v>
      </c>
      <c r="E585" t="s">
        <v>20</v>
      </c>
      <c r="F585" t="s">
        <v>48</v>
      </c>
      <c r="G585">
        <v>35.099899999999998</v>
      </c>
      <c r="H585" s="9">
        <v>9</v>
      </c>
      <c r="I585" s="9">
        <v>200</v>
      </c>
      <c r="J585" s="6">
        <f>IFERROR(Info_Camas[[#This Row],[Lineas]]/Info_Camas[[#This Row],[Cortinas]],"Pendiente")</f>
        <v>22.222222222222221</v>
      </c>
    </row>
    <row r="586" spans="1:10" x14ac:dyDescent="0.25">
      <c r="A586" t="str">
        <f>+_xlfn.CONCAT(Info_Camas[[#This Row],[Bloque]],Info_Camas[[#This Row],[Lado]],Info_Camas[[#This Row],[Cama]])</f>
        <v>04A009</v>
      </c>
      <c r="B586" t="s">
        <v>739</v>
      </c>
      <c r="C586" t="s">
        <v>30</v>
      </c>
      <c r="D586" t="s">
        <v>15</v>
      </c>
      <c r="E586" t="s">
        <v>26</v>
      </c>
      <c r="F586" t="s">
        <v>52</v>
      </c>
      <c r="G586">
        <v>54.933</v>
      </c>
      <c r="H586" s="9">
        <v>9</v>
      </c>
      <c r="I586" s="9">
        <v>191</v>
      </c>
      <c r="J586" s="6">
        <f>IFERROR(Info_Camas[[#This Row],[Lineas]]/Info_Camas[[#This Row],[Cortinas]],"Pendiente")</f>
        <v>21.222222222222221</v>
      </c>
    </row>
    <row r="587" spans="1:10" x14ac:dyDescent="0.25">
      <c r="A587" t="str">
        <f>+_xlfn.CONCAT(Info_Camas[[#This Row],[Bloque]],Info_Camas[[#This Row],[Lado]],Info_Camas[[#This Row],[Cama]])</f>
        <v>04B009</v>
      </c>
      <c r="B587" t="s">
        <v>739</v>
      </c>
      <c r="C587" t="s">
        <v>30</v>
      </c>
      <c r="D587" t="s">
        <v>21</v>
      </c>
      <c r="E587" t="s">
        <v>26</v>
      </c>
      <c r="F587" t="s">
        <v>52</v>
      </c>
      <c r="G587">
        <v>54.933</v>
      </c>
      <c r="H587" s="9">
        <v>9</v>
      </c>
      <c r="I587" s="9">
        <v>199</v>
      </c>
      <c r="J587" s="6">
        <f>IFERROR(Info_Camas[[#This Row],[Lineas]]/Info_Camas[[#This Row],[Cortinas]],"Pendiente")</f>
        <v>22.111111111111111</v>
      </c>
    </row>
    <row r="588" spans="1:10" x14ac:dyDescent="0.25">
      <c r="A588" t="str">
        <f>+_xlfn.CONCAT(Info_Camas[[#This Row],[Bloque]],Info_Camas[[#This Row],[Lado]],Info_Camas[[#This Row],[Cama]])</f>
        <v>04A010</v>
      </c>
      <c r="B588" t="s">
        <v>739</v>
      </c>
      <c r="C588" t="s">
        <v>30</v>
      </c>
      <c r="D588" t="s">
        <v>15</v>
      </c>
      <c r="E588" t="s">
        <v>26</v>
      </c>
      <c r="F588" t="s">
        <v>55</v>
      </c>
      <c r="G588">
        <v>54.933</v>
      </c>
      <c r="H588" s="9">
        <v>9</v>
      </c>
      <c r="I588" s="9">
        <v>193</v>
      </c>
      <c r="J588" s="6">
        <f>IFERROR(Info_Camas[[#This Row],[Lineas]]/Info_Camas[[#This Row],[Cortinas]],"Pendiente")</f>
        <v>21.444444444444443</v>
      </c>
    </row>
    <row r="589" spans="1:10" x14ac:dyDescent="0.25">
      <c r="A589" t="str">
        <f>+_xlfn.CONCAT(Info_Camas[[#This Row],[Bloque]],Info_Camas[[#This Row],[Lado]],Info_Camas[[#This Row],[Cama]])</f>
        <v>04B010</v>
      </c>
      <c r="B589" t="s">
        <v>739</v>
      </c>
      <c r="C589" t="s">
        <v>30</v>
      </c>
      <c r="D589" t="s">
        <v>21</v>
      </c>
      <c r="E589" t="s">
        <v>26</v>
      </c>
      <c r="F589" t="s">
        <v>55</v>
      </c>
      <c r="G589">
        <v>6.1036999999999999</v>
      </c>
      <c r="H589" s="9">
        <v>9</v>
      </c>
      <c r="I589" s="9">
        <v>200</v>
      </c>
      <c r="J589" s="6">
        <f>IFERROR(Info_Camas[[#This Row],[Lineas]]/Info_Camas[[#This Row],[Cortinas]],"Pendiente")</f>
        <v>22.222222222222221</v>
      </c>
    </row>
    <row r="590" spans="1:10" x14ac:dyDescent="0.25">
      <c r="A590" t="str">
        <f>+_xlfn.CONCAT(Info_Camas[[#This Row],[Bloque]],Info_Camas[[#This Row],[Lado]],Info_Camas[[#This Row],[Cama]])</f>
        <v>04A011</v>
      </c>
      <c r="B590" t="s">
        <v>739</v>
      </c>
      <c r="C590" t="s">
        <v>30</v>
      </c>
      <c r="D590" t="s">
        <v>15</v>
      </c>
      <c r="E590" t="s">
        <v>26</v>
      </c>
      <c r="F590" t="s">
        <v>58</v>
      </c>
      <c r="G590">
        <v>54.933</v>
      </c>
      <c r="H590" s="9">
        <v>9</v>
      </c>
      <c r="I590" s="9">
        <v>192</v>
      </c>
      <c r="J590" s="6">
        <f>IFERROR(Info_Camas[[#This Row],[Lineas]]/Info_Camas[[#This Row],[Cortinas]],"Pendiente")</f>
        <v>21.333333333333332</v>
      </c>
    </row>
    <row r="591" spans="1:10" x14ac:dyDescent="0.25">
      <c r="A591" t="str">
        <f>+_xlfn.CONCAT(Info_Camas[[#This Row],[Bloque]],Info_Camas[[#This Row],[Lado]],Info_Camas[[#This Row],[Cama]])</f>
        <v>04B011</v>
      </c>
      <c r="B591" t="s">
        <v>739</v>
      </c>
      <c r="C591" t="s">
        <v>30</v>
      </c>
      <c r="D591" t="s">
        <v>21</v>
      </c>
      <c r="E591" t="s">
        <v>26</v>
      </c>
      <c r="F591" t="s">
        <v>58</v>
      </c>
      <c r="G591">
        <v>54.933</v>
      </c>
      <c r="H591" s="9">
        <v>9</v>
      </c>
      <c r="I591" s="9">
        <v>200</v>
      </c>
      <c r="J591" s="6">
        <f>IFERROR(Info_Camas[[#This Row],[Lineas]]/Info_Camas[[#This Row],[Cortinas]],"Pendiente")</f>
        <v>22.222222222222221</v>
      </c>
    </row>
    <row r="592" spans="1:10" x14ac:dyDescent="0.25">
      <c r="A592" t="str">
        <f>+_xlfn.CONCAT(Info_Camas[[#This Row],[Bloque]],Info_Camas[[#This Row],[Lado]],Info_Camas[[#This Row],[Cama]])</f>
        <v>04A012</v>
      </c>
      <c r="B592" t="s">
        <v>739</v>
      </c>
      <c r="C592" t="s">
        <v>30</v>
      </c>
      <c r="D592" t="s">
        <v>15</v>
      </c>
      <c r="E592" t="s">
        <v>26</v>
      </c>
      <c r="F592" t="s">
        <v>62</v>
      </c>
      <c r="G592">
        <v>54.933</v>
      </c>
      <c r="H592" s="9">
        <v>9</v>
      </c>
      <c r="I592" s="9">
        <v>192</v>
      </c>
      <c r="J592" s="6">
        <f>IFERROR(Info_Camas[[#This Row],[Lineas]]/Info_Camas[[#This Row],[Cortinas]],"Pendiente")</f>
        <v>21.333333333333332</v>
      </c>
    </row>
    <row r="593" spans="1:10" x14ac:dyDescent="0.25">
      <c r="A593" t="str">
        <f>+_xlfn.CONCAT(Info_Camas[[#This Row],[Bloque]],Info_Camas[[#This Row],[Lado]],Info_Camas[[#This Row],[Cama]])</f>
        <v>04B012</v>
      </c>
      <c r="B593" t="s">
        <v>739</v>
      </c>
      <c r="C593" t="s">
        <v>30</v>
      </c>
      <c r="D593" t="s">
        <v>21</v>
      </c>
      <c r="E593" t="s">
        <v>26</v>
      </c>
      <c r="F593" t="s">
        <v>62</v>
      </c>
      <c r="G593">
        <v>54.933</v>
      </c>
      <c r="H593" s="9">
        <v>9</v>
      </c>
      <c r="I593" s="9">
        <v>199</v>
      </c>
      <c r="J593" s="6">
        <f>IFERROR(Info_Camas[[#This Row],[Lineas]]/Info_Camas[[#This Row],[Cortinas]],"Pendiente")</f>
        <v>22.111111111111111</v>
      </c>
    </row>
    <row r="594" spans="1:10" x14ac:dyDescent="0.25">
      <c r="A594" t="str">
        <f>+_xlfn.CONCAT(Info_Camas[[#This Row],[Bloque]],Info_Camas[[#This Row],[Lado]],Info_Camas[[#This Row],[Cama]])</f>
        <v>04A013</v>
      </c>
      <c r="B594" t="s">
        <v>739</v>
      </c>
      <c r="C594" t="s">
        <v>30</v>
      </c>
      <c r="D594" t="s">
        <v>15</v>
      </c>
      <c r="E594" t="s">
        <v>30</v>
      </c>
      <c r="F594" t="s">
        <v>65</v>
      </c>
      <c r="G594">
        <v>54.933</v>
      </c>
      <c r="H594" s="9">
        <v>9</v>
      </c>
      <c r="I594" s="9">
        <v>194</v>
      </c>
      <c r="J594" s="6">
        <f>IFERROR(Info_Camas[[#This Row],[Lineas]]/Info_Camas[[#This Row],[Cortinas]],"Pendiente")</f>
        <v>21.555555555555557</v>
      </c>
    </row>
    <row r="595" spans="1:10" x14ac:dyDescent="0.25">
      <c r="A595" t="str">
        <f>+_xlfn.CONCAT(Info_Camas[[#This Row],[Bloque]],Info_Camas[[#This Row],[Lado]],Info_Camas[[#This Row],[Cama]])</f>
        <v>04B013</v>
      </c>
      <c r="B595" t="s">
        <v>739</v>
      </c>
      <c r="C595" t="s">
        <v>30</v>
      </c>
      <c r="D595" t="s">
        <v>21</v>
      </c>
      <c r="E595" t="s">
        <v>30</v>
      </c>
      <c r="F595" t="s">
        <v>65</v>
      </c>
      <c r="G595">
        <v>36.033799999999999</v>
      </c>
      <c r="H595" s="9">
        <v>9</v>
      </c>
      <c r="I595" s="9">
        <v>182</v>
      </c>
      <c r="J595" s="6">
        <f>IFERROR(Info_Camas[[#This Row],[Lineas]]/Info_Camas[[#This Row],[Cortinas]],"Pendiente")</f>
        <v>20.222222222222221</v>
      </c>
    </row>
    <row r="596" spans="1:10" x14ac:dyDescent="0.25">
      <c r="A596" t="str">
        <f>+_xlfn.CONCAT(Info_Camas[[#This Row],[Bloque]],Info_Camas[[#This Row],[Lado]],Info_Camas[[#This Row],[Cama]])</f>
        <v>04A014</v>
      </c>
      <c r="B596" t="s">
        <v>739</v>
      </c>
      <c r="C596" t="s">
        <v>30</v>
      </c>
      <c r="D596" t="s">
        <v>15</v>
      </c>
      <c r="E596" t="s">
        <v>30</v>
      </c>
      <c r="F596" t="s">
        <v>68</v>
      </c>
      <c r="G596">
        <v>54.933</v>
      </c>
      <c r="H596" s="9">
        <v>9</v>
      </c>
      <c r="I596" s="9">
        <v>194</v>
      </c>
      <c r="J596" s="6">
        <f>IFERROR(Info_Camas[[#This Row],[Lineas]]/Info_Camas[[#This Row],[Cortinas]],"Pendiente")</f>
        <v>21.555555555555557</v>
      </c>
    </row>
    <row r="597" spans="1:10" x14ac:dyDescent="0.25">
      <c r="A597" t="str">
        <f>+_xlfn.CONCAT(Info_Camas[[#This Row],[Bloque]],Info_Camas[[#This Row],[Lado]],Info_Camas[[#This Row],[Cama]])</f>
        <v>04B014</v>
      </c>
      <c r="B597" t="s">
        <v>739</v>
      </c>
      <c r="C597" t="s">
        <v>30</v>
      </c>
      <c r="D597" t="s">
        <v>21</v>
      </c>
      <c r="E597" t="s">
        <v>30</v>
      </c>
      <c r="F597" t="s">
        <v>68</v>
      </c>
      <c r="G597">
        <v>54.933</v>
      </c>
      <c r="H597" s="9">
        <v>9</v>
      </c>
      <c r="I597" s="9">
        <v>184</v>
      </c>
      <c r="J597" s="6">
        <f>IFERROR(Info_Camas[[#This Row],[Lineas]]/Info_Camas[[#This Row],[Cortinas]],"Pendiente")</f>
        <v>20.444444444444443</v>
      </c>
    </row>
    <row r="598" spans="1:10" x14ac:dyDescent="0.25">
      <c r="A598" t="str">
        <f>+_xlfn.CONCAT(Info_Camas[[#This Row],[Bloque]],Info_Camas[[#This Row],[Lado]],Info_Camas[[#This Row],[Cama]])</f>
        <v>04A015</v>
      </c>
      <c r="B598" t="s">
        <v>739</v>
      </c>
      <c r="C598" t="s">
        <v>30</v>
      </c>
      <c r="D598" t="s">
        <v>15</v>
      </c>
      <c r="E598" t="s">
        <v>30</v>
      </c>
      <c r="F598" t="s">
        <v>72</v>
      </c>
      <c r="G598">
        <v>37.354399999999998</v>
      </c>
      <c r="H598" s="9">
        <v>9</v>
      </c>
      <c r="I598" s="9">
        <v>194</v>
      </c>
      <c r="J598" s="6">
        <f>IFERROR(Info_Camas[[#This Row],[Lineas]]/Info_Camas[[#This Row],[Cortinas]],"Pendiente")</f>
        <v>21.555555555555557</v>
      </c>
    </row>
    <row r="599" spans="1:10" x14ac:dyDescent="0.25">
      <c r="A599" t="str">
        <f>+_xlfn.CONCAT(Info_Camas[[#This Row],[Bloque]],Info_Camas[[#This Row],[Lado]],Info_Camas[[#This Row],[Cama]])</f>
        <v>04B015</v>
      </c>
      <c r="B599" t="s">
        <v>739</v>
      </c>
      <c r="C599" t="s">
        <v>30</v>
      </c>
      <c r="D599" t="s">
        <v>21</v>
      </c>
      <c r="E599" t="s">
        <v>30</v>
      </c>
      <c r="F599" t="s">
        <v>72</v>
      </c>
      <c r="G599">
        <v>54.933</v>
      </c>
      <c r="H599" s="9">
        <v>9</v>
      </c>
      <c r="I599" s="9">
        <v>183</v>
      </c>
      <c r="J599" s="6">
        <f>IFERROR(Info_Camas[[#This Row],[Lineas]]/Info_Camas[[#This Row],[Cortinas]],"Pendiente")</f>
        <v>20.333333333333332</v>
      </c>
    </row>
    <row r="600" spans="1:10" x14ac:dyDescent="0.25">
      <c r="A600" t="str">
        <f>+_xlfn.CONCAT(Info_Camas[[#This Row],[Bloque]],Info_Camas[[#This Row],[Lado]],Info_Camas[[#This Row],[Cama]])</f>
        <v>04A016</v>
      </c>
      <c r="B600" t="s">
        <v>739</v>
      </c>
      <c r="C600" t="s">
        <v>30</v>
      </c>
      <c r="D600" t="s">
        <v>15</v>
      </c>
      <c r="E600" t="s">
        <v>30</v>
      </c>
      <c r="F600" t="s">
        <v>75</v>
      </c>
      <c r="G600">
        <v>54.933</v>
      </c>
      <c r="H600" s="9">
        <v>9</v>
      </c>
      <c r="I600" s="9">
        <v>194</v>
      </c>
      <c r="J600" s="6">
        <f>IFERROR(Info_Camas[[#This Row],[Lineas]]/Info_Camas[[#This Row],[Cortinas]],"Pendiente")</f>
        <v>21.555555555555557</v>
      </c>
    </row>
    <row r="601" spans="1:10" x14ac:dyDescent="0.25">
      <c r="A601" t="str">
        <f>+_xlfn.CONCAT(Info_Camas[[#This Row],[Bloque]],Info_Camas[[#This Row],[Lado]],Info_Camas[[#This Row],[Cama]])</f>
        <v>04B016</v>
      </c>
      <c r="B601" t="s">
        <v>739</v>
      </c>
      <c r="C601" t="s">
        <v>30</v>
      </c>
      <c r="D601" t="s">
        <v>21</v>
      </c>
      <c r="E601" t="s">
        <v>30</v>
      </c>
      <c r="F601" t="s">
        <v>75</v>
      </c>
      <c r="G601">
        <v>54.933</v>
      </c>
      <c r="H601" s="9">
        <v>9</v>
      </c>
      <c r="I601" s="9">
        <v>184</v>
      </c>
      <c r="J601" s="6">
        <f>IFERROR(Info_Camas[[#This Row],[Lineas]]/Info_Camas[[#This Row],[Cortinas]],"Pendiente")</f>
        <v>20.444444444444443</v>
      </c>
    </row>
    <row r="602" spans="1:10" x14ac:dyDescent="0.25">
      <c r="A602" t="str">
        <f>+_xlfn.CONCAT(Info_Camas[[#This Row],[Bloque]],Info_Camas[[#This Row],[Lado]],Info_Camas[[#This Row],[Cama]])</f>
        <v>04A017</v>
      </c>
      <c r="B602" t="s">
        <v>739</v>
      </c>
      <c r="C602" t="s">
        <v>30</v>
      </c>
      <c r="D602" t="s">
        <v>15</v>
      </c>
      <c r="E602" t="s">
        <v>34</v>
      </c>
      <c r="F602" t="s">
        <v>78</v>
      </c>
      <c r="G602">
        <v>54.933</v>
      </c>
      <c r="H602" s="9">
        <v>9</v>
      </c>
      <c r="I602" s="9">
        <v>199</v>
      </c>
      <c r="J602" s="6">
        <f>IFERROR(Info_Camas[[#This Row],[Lineas]]/Info_Camas[[#This Row],[Cortinas]],"Pendiente")</f>
        <v>22.111111111111111</v>
      </c>
    </row>
    <row r="603" spans="1:10" x14ac:dyDescent="0.25">
      <c r="A603" t="str">
        <f>+_xlfn.CONCAT(Info_Camas[[#This Row],[Bloque]],Info_Camas[[#This Row],[Lado]],Info_Camas[[#This Row],[Cama]])</f>
        <v>04B017</v>
      </c>
      <c r="B603" t="s">
        <v>739</v>
      </c>
      <c r="C603" t="s">
        <v>30</v>
      </c>
      <c r="D603" t="s">
        <v>21</v>
      </c>
      <c r="E603" t="s">
        <v>34</v>
      </c>
      <c r="F603" t="s">
        <v>78</v>
      </c>
      <c r="G603">
        <v>54.933</v>
      </c>
      <c r="H603" s="9">
        <v>9</v>
      </c>
      <c r="I603" s="9">
        <v>193</v>
      </c>
      <c r="J603" s="6">
        <f>IFERROR(Info_Camas[[#This Row],[Lineas]]/Info_Camas[[#This Row],[Cortinas]],"Pendiente")</f>
        <v>21.444444444444443</v>
      </c>
    </row>
    <row r="604" spans="1:10" x14ac:dyDescent="0.25">
      <c r="A604" t="str">
        <f>+_xlfn.CONCAT(Info_Camas[[#This Row],[Bloque]],Info_Camas[[#This Row],[Lado]],Info_Camas[[#This Row],[Cama]])</f>
        <v>04A018</v>
      </c>
      <c r="B604" t="s">
        <v>739</v>
      </c>
      <c r="C604" t="s">
        <v>30</v>
      </c>
      <c r="D604" t="s">
        <v>15</v>
      </c>
      <c r="E604" t="s">
        <v>34</v>
      </c>
      <c r="F604" t="s">
        <v>81</v>
      </c>
      <c r="G604">
        <v>51.999499999999998</v>
      </c>
      <c r="H604" s="9">
        <v>9</v>
      </c>
      <c r="I604" s="9">
        <v>195</v>
      </c>
      <c r="J604" s="6">
        <f>IFERROR(Info_Camas[[#This Row],[Lineas]]/Info_Camas[[#This Row],[Cortinas]],"Pendiente")</f>
        <v>21.666666666666668</v>
      </c>
    </row>
    <row r="605" spans="1:10" x14ac:dyDescent="0.25">
      <c r="A605" t="str">
        <f>+_xlfn.CONCAT(Info_Camas[[#This Row],[Bloque]],Info_Camas[[#This Row],[Lado]],Info_Camas[[#This Row],[Cama]])</f>
        <v>04B018</v>
      </c>
      <c r="B605" t="s">
        <v>739</v>
      </c>
      <c r="C605" t="s">
        <v>30</v>
      </c>
      <c r="D605" t="s">
        <v>21</v>
      </c>
      <c r="E605" t="s">
        <v>34</v>
      </c>
      <c r="F605" t="s">
        <v>81</v>
      </c>
      <c r="G605">
        <v>54.933</v>
      </c>
      <c r="H605" s="9">
        <v>9</v>
      </c>
      <c r="I605" s="9">
        <v>194</v>
      </c>
      <c r="J605" s="6">
        <f>IFERROR(Info_Camas[[#This Row],[Lineas]]/Info_Camas[[#This Row],[Cortinas]],"Pendiente")</f>
        <v>21.555555555555557</v>
      </c>
    </row>
    <row r="606" spans="1:10" x14ac:dyDescent="0.25">
      <c r="A606" t="str">
        <f>+_xlfn.CONCAT(Info_Camas[[#This Row],[Bloque]],Info_Camas[[#This Row],[Lado]],Info_Camas[[#This Row],[Cama]])</f>
        <v>04A019</v>
      </c>
      <c r="B606" t="s">
        <v>739</v>
      </c>
      <c r="C606" t="s">
        <v>30</v>
      </c>
      <c r="D606" t="s">
        <v>15</v>
      </c>
      <c r="E606" t="s">
        <v>34</v>
      </c>
      <c r="F606" t="s">
        <v>84</v>
      </c>
      <c r="G606">
        <v>54.933</v>
      </c>
      <c r="H606" s="9">
        <v>9</v>
      </c>
      <c r="I606" s="9">
        <v>197</v>
      </c>
      <c r="J606" s="6">
        <f>IFERROR(Info_Camas[[#This Row],[Lineas]]/Info_Camas[[#This Row],[Cortinas]],"Pendiente")</f>
        <v>21.888888888888889</v>
      </c>
    </row>
    <row r="607" spans="1:10" x14ac:dyDescent="0.25">
      <c r="A607" t="str">
        <f>+_xlfn.CONCAT(Info_Camas[[#This Row],[Bloque]],Info_Camas[[#This Row],[Lado]],Info_Camas[[#This Row],[Cama]])</f>
        <v>04B019</v>
      </c>
      <c r="B607" t="s">
        <v>739</v>
      </c>
      <c r="C607" t="s">
        <v>30</v>
      </c>
      <c r="D607" t="s">
        <v>21</v>
      </c>
      <c r="E607" t="s">
        <v>34</v>
      </c>
      <c r="F607" t="s">
        <v>84</v>
      </c>
      <c r="G607">
        <v>54.933</v>
      </c>
      <c r="H607" s="9">
        <v>9</v>
      </c>
      <c r="I607" s="9">
        <v>196</v>
      </c>
      <c r="J607" s="6">
        <f>IFERROR(Info_Camas[[#This Row],[Lineas]]/Info_Camas[[#This Row],[Cortinas]],"Pendiente")</f>
        <v>21.777777777777779</v>
      </c>
    </row>
    <row r="608" spans="1:10" x14ac:dyDescent="0.25">
      <c r="A608" t="str">
        <f>+_xlfn.CONCAT(Info_Camas[[#This Row],[Bloque]],Info_Camas[[#This Row],[Lado]],Info_Camas[[#This Row],[Cama]])</f>
        <v>04A020</v>
      </c>
      <c r="B608" t="s">
        <v>739</v>
      </c>
      <c r="C608" t="s">
        <v>30</v>
      </c>
      <c r="D608" t="s">
        <v>15</v>
      </c>
      <c r="E608" t="s">
        <v>34</v>
      </c>
      <c r="F608" t="s">
        <v>87</v>
      </c>
      <c r="G608">
        <v>12.2112</v>
      </c>
      <c r="H608" s="9">
        <v>9</v>
      </c>
      <c r="I608" s="9">
        <v>194</v>
      </c>
      <c r="J608" s="6">
        <f>IFERROR(Info_Camas[[#This Row],[Lineas]]/Info_Camas[[#This Row],[Cortinas]],"Pendiente")</f>
        <v>21.555555555555557</v>
      </c>
    </row>
    <row r="609" spans="1:10" x14ac:dyDescent="0.25">
      <c r="A609" t="str">
        <f>+_xlfn.CONCAT(Info_Camas[[#This Row],[Bloque]],Info_Camas[[#This Row],[Lado]],Info_Camas[[#This Row],[Cama]])</f>
        <v>04B020</v>
      </c>
      <c r="B609" t="s">
        <v>739</v>
      </c>
      <c r="C609" t="s">
        <v>30</v>
      </c>
      <c r="D609" t="s">
        <v>21</v>
      </c>
      <c r="E609" t="s">
        <v>34</v>
      </c>
      <c r="F609" t="s">
        <v>87</v>
      </c>
      <c r="G609">
        <v>54.933</v>
      </c>
      <c r="H609" s="9">
        <v>9</v>
      </c>
      <c r="I609" s="9">
        <v>194</v>
      </c>
      <c r="J609" s="6">
        <f>IFERROR(Info_Camas[[#This Row],[Lineas]]/Info_Camas[[#This Row],[Cortinas]],"Pendiente")</f>
        <v>21.555555555555557</v>
      </c>
    </row>
    <row r="610" spans="1:10" x14ac:dyDescent="0.25">
      <c r="A610" t="str">
        <f>+_xlfn.CONCAT(Info_Camas[[#This Row],[Bloque]],Info_Camas[[#This Row],[Lado]],Info_Camas[[#This Row],[Cama]])</f>
        <v>04A021</v>
      </c>
      <c r="B610" t="s">
        <v>739</v>
      </c>
      <c r="C610" t="s">
        <v>30</v>
      </c>
      <c r="D610" t="s">
        <v>15</v>
      </c>
      <c r="E610" t="s">
        <v>39</v>
      </c>
      <c r="F610" t="s">
        <v>90</v>
      </c>
      <c r="G610">
        <v>54.933</v>
      </c>
      <c r="H610" s="9">
        <v>9</v>
      </c>
      <c r="I610" s="9">
        <v>194</v>
      </c>
      <c r="J610" s="6">
        <f>IFERROR(Info_Camas[[#This Row],[Lineas]]/Info_Camas[[#This Row],[Cortinas]],"Pendiente")</f>
        <v>21.555555555555557</v>
      </c>
    </row>
    <row r="611" spans="1:10" x14ac:dyDescent="0.25">
      <c r="A611" t="str">
        <f>+_xlfn.CONCAT(Info_Camas[[#This Row],[Bloque]],Info_Camas[[#This Row],[Lado]],Info_Camas[[#This Row],[Cama]])</f>
        <v>04B021</v>
      </c>
      <c r="B611" t="s">
        <v>739</v>
      </c>
      <c r="C611" t="s">
        <v>30</v>
      </c>
      <c r="D611" t="s">
        <v>21</v>
      </c>
      <c r="E611" t="s">
        <v>39</v>
      </c>
      <c r="F611" t="s">
        <v>90</v>
      </c>
      <c r="G611">
        <v>54.933</v>
      </c>
      <c r="H611" s="9">
        <v>9</v>
      </c>
      <c r="I611" s="9">
        <v>196</v>
      </c>
      <c r="J611" s="6">
        <f>IFERROR(Info_Camas[[#This Row],[Lineas]]/Info_Camas[[#This Row],[Cortinas]],"Pendiente")</f>
        <v>21.777777777777779</v>
      </c>
    </row>
    <row r="612" spans="1:10" x14ac:dyDescent="0.25">
      <c r="A612" t="str">
        <f>+_xlfn.CONCAT(Info_Camas[[#This Row],[Bloque]],Info_Camas[[#This Row],[Lado]],Info_Camas[[#This Row],[Cama]])</f>
        <v>04A022</v>
      </c>
      <c r="B612" t="s">
        <v>739</v>
      </c>
      <c r="C612" t="s">
        <v>30</v>
      </c>
      <c r="D612" t="s">
        <v>15</v>
      </c>
      <c r="E612" t="s">
        <v>39</v>
      </c>
      <c r="F612" t="s">
        <v>94</v>
      </c>
      <c r="G612">
        <v>54.933</v>
      </c>
      <c r="H612" s="9">
        <v>9</v>
      </c>
      <c r="I612" s="9">
        <v>195</v>
      </c>
      <c r="J612" s="6">
        <f>IFERROR(Info_Camas[[#This Row],[Lineas]]/Info_Camas[[#This Row],[Cortinas]],"Pendiente")</f>
        <v>21.666666666666668</v>
      </c>
    </row>
    <row r="613" spans="1:10" x14ac:dyDescent="0.25">
      <c r="A613" t="str">
        <f>+_xlfn.CONCAT(Info_Camas[[#This Row],[Bloque]],Info_Camas[[#This Row],[Lado]],Info_Camas[[#This Row],[Cama]])</f>
        <v>04B022</v>
      </c>
      <c r="B613" t="s">
        <v>739</v>
      </c>
      <c r="C613" t="s">
        <v>30</v>
      </c>
      <c r="D613" t="s">
        <v>21</v>
      </c>
      <c r="E613" t="s">
        <v>39</v>
      </c>
      <c r="F613" t="s">
        <v>94</v>
      </c>
      <c r="G613">
        <v>54.933</v>
      </c>
      <c r="H613" s="9">
        <v>9</v>
      </c>
      <c r="I613" s="9">
        <v>195</v>
      </c>
      <c r="J613" s="6">
        <f>IFERROR(Info_Camas[[#This Row],[Lineas]]/Info_Camas[[#This Row],[Cortinas]],"Pendiente")</f>
        <v>21.666666666666668</v>
      </c>
    </row>
    <row r="614" spans="1:10" x14ac:dyDescent="0.25">
      <c r="A614" t="str">
        <f>+_xlfn.CONCAT(Info_Camas[[#This Row],[Bloque]],Info_Camas[[#This Row],[Lado]],Info_Camas[[#This Row],[Cama]])</f>
        <v>04A023</v>
      </c>
      <c r="B614" t="s">
        <v>739</v>
      </c>
      <c r="C614" t="s">
        <v>30</v>
      </c>
      <c r="D614" t="s">
        <v>15</v>
      </c>
      <c r="E614" t="s">
        <v>39</v>
      </c>
      <c r="F614" t="s">
        <v>97</v>
      </c>
      <c r="G614">
        <v>54.933</v>
      </c>
      <c r="H614" s="9">
        <v>9</v>
      </c>
      <c r="I614" s="9">
        <v>196</v>
      </c>
      <c r="J614" s="6">
        <f>IFERROR(Info_Camas[[#This Row],[Lineas]]/Info_Camas[[#This Row],[Cortinas]],"Pendiente")</f>
        <v>21.777777777777779</v>
      </c>
    </row>
    <row r="615" spans="1:10" x14ac:dyDescent="0.25">
      <c r="A615" t="str">
        <f>+_xlfn.CONCAT(Info_Camas[[#This Row],[Bloque]],Info_Camas[[#This Row],[Lado]],Info_Camas[[#This Row],[Cama]])</f>
        <v>04B023</v>
      </c>
      <c r="B615" t="s">
        <v>739</v>
      </c>
      <c r="C615" t="s">
        <v>30</v>
      </c>
      <c r="D615" t="s">
        <v>21</v>
      </c>
      <c r="E615" t="s">
        <v>39</v>
      </c>
      <c r="F615" t="s">
        <v>97</v>
      </c>
      <c r="G615">
        <v>20.545999999999999</v>
      </c>
      <c r="H615" s="9">
        <v>9</v>
      </c>
      <c r="I615" s="9">
        <v>196</v>
      </c>
      <c r="J615" s="6">
        <f>IFERROR(Info_Camas[[#This Row],[Lineas]]/Info_Camas[[#This Row],[Cortinas]],"Pendiente")</f>
        <v>21.777777777777779</v>
      </c>
    </row>
    <row r="616" spans="1:10" x14ac:dyDescent="0.25">
      <c r="A616" t="str">
        <f>+_xlfn.CONCAT(Info_Camas[[#This Row],[Bloque]],Info_Camas[[#This Row],[Lado]],Info_Camas[[#This Row],[Cama]])</f>
        <v>04A024</v>
      </c>
      <c r="B616" t="s">
        <v>739</v>
      </c>
      <c r="C616" t="s">
        <v>30</v>
      </c>
      <c r="D616" t="s">
        <v>15</v>
      </c>
      <c r="E616" t="s">
        <v>39</v>
      </c>
      <c r="F616" t="s">
        <v>100</v>
      </c>
      <c r="G616">
        <v>54.933</v>
      </c>
      <c r="H616" s="9">
        <v>9</v>
      </c>
      <c r="I616" s="9">
        <v>197</v>
      </c>
      <c r="J616" s="6">
        <f>IFERROR(Info_Camas[[#This Row],[Lineas]]/Info_Camas[[#This Row],[Cortinas]],"Pendiente")</f>
        <v>21.888888888888889</v>
      </c>
    </row>
    <row r="617" spans="1:10" x14ac:dyDescent="0.25">
      <c r="A617" t="str">
        <f>+_xlfn.CONCAT(Info_Camas[[#This Row],[Bloque]],Info_Camas[[#This Row],[Lado]],Info_Camas[[#This Row],[Cama]])</f>
        <v>04B024</v>
      </c>
      <c r="B617" t="s">
        <v>739</v>
      </c>
      <c r="C617" t="s">
        <v>30</v>
      </c>
      <c r="D617" t="s">
        <v>21</v>
      </c>
      <c r="E617" t="s">
        <v>39</v>
      </c>
      <c r="F617" t="s">
        <v>100</v>
      </c>
      <c r="G617">
        <v>54.933</v>
      </c>
      <c r="H617" s="9">
        <v>9</v>
      </c>
      <c r="I617" s="9">
        <v>198</v>
      </c>
      <c r="J617" s="6">
        <f>IFERROR(Info_Camas[[#This Row],[Lineas]]/Info_Camas[[#This Row],[Cortinas]],"Pendiente")</f>
        <v>22</v>
      </c>
    </row>
    <row r="618" spans="1:10" x14ac:dyDescent="0.25">
      <c r="A618" t="str">
        <f>+_xlfn.CONCAT(Info_Camas[[#This Row],[Bloque]],Info_Camas[[#This Row],[Lado]],Info_Camas[[#This Row],[Cama]])</f>
        <v>04A025</v>
      </c>
      <c r="B618" t="s">
        <v>739</v>
      </c>
      <c r="C618" t="s">
        <v>30</v>
      </c>
      <c r="D618" t="s">
        <v>15</v>
      </c>
      <c r="E618" t="s">
        <v>42</v>
      </c>
      <c r="F618" t="s">
        <v>103</v>
      </c>
      <c r="G618">
        <v>54.933</v>
      </c>
      <c r="H618" s="9">
        <v>9</v>
      </c>
      <c r="I618" s="9">
        <v>193</v>
      </c>
      <c r="J618" s="6">
        <f>IFERROR(Info_Camas[[#This Row],[Lineas]]/Info_Camas[[#This Row],[Cortinas]],"Pendiente")</f>
        <v>21.444444444444443</v>
      </c>
    </row>
    <row r="619" spans="1:10" x14ac:dyDescent="0.25">
      <c r="A619" t="str">
        <f>+_xlfn.CONCAT(Info_Camas[[#This Row],[Bloque]],Info_Camas[[#This Row],[Lado]],Info_Camas[[#This Row],[Cama]])</f>
        <v>04B025</v>
      </c>
      <c r="B619" t="s">
        <v>739</v>
      </c>
      <c r="C619" t="s">
        <v>30</v>
      </c>
      <c r="D619" t="s">
        <v>21</v>
      </c>
      <c r="E619" t="s">
        <v>42</v>
      </c>
      <c r="F619" t="s">
        <v>103</v>
      </c>
      <c r="G619">
        <v>16.9025</v>
      </c>
      <c r="H619" s="9">
        <v>9</v>
      </c>
      <c r="I619" s="9">
        <v>197</v>
      </c>
      <c r="J619" s="6">
        <f>IFERROR(Info_Camas[[#This Row],[Lineas]]/Info_Camas[[#This Row],[Cortinas]],"Pendiente")</f>
        <v>21.888888888888889</v>
      </c>
    </row>
    <row r="620" spans="1:10" x14ac:dyDescent="0.25">
      <c r="A620" t="str">
        <f>+_xlfn.CONCAT(Info_Camas[[#This Row],[Bloque]],Info_Camas[[#This Row],[Lado]],Info_Camas[[#This Row],[Cama]])</f>
        <v>04A026</v>
      </c>
      <c r="B620" t="s">
        <v>739</v>
      </c>
      <c r="C620" t="s">
        <v>30</v>
      </c>
      <c r="D620" t="s">
        <v>15</v>
      </c>
      <c r="E620" t="s">
        <v>42</v>
      </c>
      <c r="F620" t="s">
        <v>106</v>
      </c>
      <c r="G620">
        <v>54.933</v>
      </c>
      <c r="H620" s="9">
        <v>9</v>
      </c>
      <c r="I620" s="9">
        <v>191</v>
      </c>
      <c r="J620" s="6">
        <f>IFERROR(Info_Camas[[#This Row],[Lineas]]/Info_Camas[[#This Row],[Cortinas]],"Pendiente")</f>
        <v>21.222222222222221</v>
      </c>
    </row>
    <row r="621" spans="1:10" x14ac:dyDescent="0.25">
      <c r="A621" t="str">
        <f>+_xlfn.CONCAT(Info_Camas[[#This Row],[Bloque]],Info_Camas[[#This Row],[Lado]],Info_Camas[[#This Row],[Cama]])</f>
        <v>04B026</v>
      </c>
      <c r="B621" t="s">
        <v>739</v>
      </c>
      <c r="C621" t="s">
        <v>30</v>
      </c>
      <c r="D621" t="s">
        <v>21</v>
      </c>
      <c r="E621" t="s">
        <v>42</v>
      </c>
      <c r="F621" t="s">
        <v>106</v>
      </c>
      <c r="G621">
        <v>54.933</v>
      </c>
      <c r="H621" s="9">
        <v>9</v>
      </c>
      <c r="I621" s="9">
        <v>197</v>
      </c>
      <c r="J621" s="6">
        <f>IFERROR(Info_Camas[[#This Row],[Lineas]]/Info_Camas[[#This Row],[Cortinas]],"Pendiente")</f>
        <v>21.888888888888889</v>
      </c>
    </row>
    <row r="622" spans="1:10" x14ac:dyDescent="0.25">
      <c r="A622" t="str">
        <f>+_xlfn.CONCAT(Info_Camas[[#This Row],[Bloque]],Info_Camas[[#This Row],[Lado]],Info_Camas[[#This Row],[Cama]])</f>
        <v>04A027</v>
      </c>
      <c r="B622" t="s">
        <v>739</v>
      </c>
      <c r="C622" t="s">
        <v>30</v>
      </c>
      <c r="D622" t="s">
        <v>15</v>
      </c>
      <c r="E622" t="s">
        <v>42</v>
      </c>
      <c r="F622" t="s">
        <v>109</v>
      </c>
      <c r="G622">
        <v>54.933</v>
      </c>
      <c r="H622" s="9">
        <v>9</v>
      </c>
      <c r="I622" s="9">
        <v>190</v>
      </c>
      <c r="J622" s="6">
        <f>IFERROR(Info_Camas[[#This Row],[Lineas]]/Info_Camas[[#This Row],[Cortinas]],"Pendiente")</f>
        <v>21.111111111111111</v>
      </c>
    </row>
    <row r="623" spans="1:10" x14ac:dyDescent="0.25">
      <c r="A623" t="str">
        <f>+_xlfn.CONCAT(Info_Camas[[#This Row],[Bloque]],Info_Camas[[#This Row],[Lado]],Info_Camas[[#This Row],[Cama]])</f>
        <v>04B027</v>
      </c>
      <c r="B623" t="s">
        <v>739</v>
      </c>
      <c r="C623" t="s">
        <v>30</v>
      </c>
      <c r="D623" t="s">
        <v>21</v>
      </c>
      <c r="E623" t="s">
        <v>42</v>
      </c>
      <c r="F623" t="s">
        <v>109</v>
      </c>
      <c r="G623">
        <v>54.933</v>
      </c>
      <c r="H623" s="9">
        <v>9</v>
      </c>
      <c r="I623" s="9">
        <v>197</v>
      </c>
      <c r="J623" s="6">
        <f>IFERROR(Info_Camas[[#This Row],[Lineas]]/Info_Camas[[#This Row],[Cortinas]],"Pendiente")</f>
        <v>21.888888888888889</v>
      </c>
    </row>
    <row r="624" spans="1:10" x14ac:dyDescent="0.25">
      <c r="A624" t="str">
        <f>+_xlfn.CONCAT(Info_Camas[[#This Row],[Bloque]],Info_Camas[[#This Row],[Lado]],Info_Camas[[#This Row],[Cama]])</f>
        <v>04A028</v>
      </c>
      <c r="B624" t="s">
        <v>739</v>
      </c>
      <c r="C624" t="s">
        <v>30</v>
      </c>
      <c r="D624" t="s">
        <v>15</v>
      </c>
      <c r="E624" t="s">
        <v>42</v>
      </c>
      <c r="F624" t="s">
        <v>112</v>
      </c>
      <c r="G624">
        <v>54.933</v>
      </c>
      <c r="H624" s="9">
        <v>9</v>
      </c>
      <c r="I624" s="9">
        <v>191</v>
      </c>
      <c r="J624" s="6">
        <f>IFERROR(Info_Camas[[#This Row],[Lineas]]/Info_Camas[[#This Row],[Cortinas]],"Pendiente")</f>
        <v>21.222222222222221</v>
      </c>
    </row>
    <row r="625" spans="1:10" x14ac:dyDescent="0.25">
      <c r="A625" t="str">
        <f>+_xlfn.CONCAT(Info_Camas[[#This Row],[Bloque]],Info_Camas[[#This Row],[Lado]],Info_Camas[[#This Row],[Cama]])</f>
        <v>04B028</v>
      </c>
      <c r="B625" t="s">
        <v>739</v>
      </c>
      <c r="C625" t="s">
        <v>30</v>
      </c>
      <c r="D625" t="s">
        <v>21</v>
      </c>
      <c r="E625" t="s">
        <v>42</v>
      </c>
      <c r="F625" t="s">
        <v>112</v>
      </c>
      <c r="G625">
        <v>31.6281</v>
      </c>
      <c r="H625" s="9">
        <v>9</v>
      </c>
      <c r="I625" s="9">
        <v>198</v>
      </c>
      <c r="J625" s="6">
        <f>IFERROR(Info_Camas[[#This Row],[Lineas]]/Info_Camas[[#This Row],[Cortinas]],"Pendiente")</f>
        <v>22</v>
      </c>
    </row>
    <row r="626" spans="1:10" x14ac:dyDescent="0.25">
      <c r="A626" t="str">
        <f>+_xlfn.CONCAT(Info_Camas[[#This Row],[Bloque]],Info_Camas[[#This Row],[Lado]],Info_Camas[[#This Row],[Cama]])</f>
        <v>04A029</v>
      </c>
      <c r="B626" t="s">
        <v>739</v>
      </c>
      <c r="C626" t="s">
        <v>30</v>
      </c>
      <c r="D626" t="s">
        <v>15</v>
      </c>
      <c r="E626" t="s">
        <v>46</v>
      </c>
      <c r="F626" t="s">
        <v>115</v>
      </c>
      <c r="G626">
        <v>54.933</v>
      </c>
      <c r="H626" s="9">
        <v>9</v>
      </c>
      <c r="I626" s="9">
        <v>192</v>
      </c>
      <c r="J626" s="6">
        <f>IFERROR(Info_Camas[[#This Row],[Lineas]]/Info_Camas[[#This Row],[Cortinas]],"Pendiente")</f>
        <v>21.333333333333332</v>
      </c>
    </row>
    <row r="627" spans="1:10" x14ac:dyDescent="0.25">
      <c r="A627" t="str">
        <f>+_xlfn.CONCAT(Info_Camas[[#This Row],[Bloque]],Info_Camas[[#This Row],[Lado]],Info_Camas[[#This Row],[Cama]])</f>
        <v>04B029</v>
      </c>
      <c r="B627" t="s">
        <v>739</v>
      </c>
      <c r="C627" t="s">
        <v>30</v>
      </c>
      <c r="D627" t="s">
        <v>21</v>
      </c>
      <c r="E627" t="s">
        <v>46</v>
      </c>
      <c r="F627" t="s">
        <v>115</v>
      </c>
      <c r="G627">
        <v>54.933</v>
      </c>
      <c r="H627" s="9">
        <v>9</v>
      </c>
      <c r="I627" s="9">
        <v>190</v>
      </c>
      <c r="J627" s="6">
        <f>IFERROR(Info_Camas[[#This Row],[Lineas]]/Info_Camas[[#This Row],[Cortinas]],"Pendiente")</f>
        <v>21.111111111111111</v>
      </c>
    </row>
    <row r="628" spans="1:10" x14ac:dyDescent="0.25">
      <c r="A628" t="str">
        <f>+_xlfn.CONCAT(Info_Camas[[#This Row],[Bloque]],Info_Camas[[#This Row],[Lado]],Info_Camas[[#This Row],[Cama]])</f>
        <v>04A030</v>
      </c>
      <c r="B628" t="s">
        <v>739</v>
      </c>
      <c r="C628" t="s">
        <v>30</v>
      </c>
      <c r="D628" t="s">
        <v>15</v>
      </c>
      <c r="E628" t="s">
        <v>46</v>
      </c>
      <c r="F628" t="s">
        <v>118</v>
      </c>
      <c r="G628">
        <v>54.933</v>
      </c>
      <c r="H628" s="9">
        <v>9</v>
      </c>
      <c r="I628" s="9">
        <v>192</v>
      </c>
      <c r="J628" s="6">
        <f>IFERROR(Info_Camas[[#This Row],[Lineas]]/Info_Camas[[#This Row],[Cortinas]],"Pendiente")</f>
        <v>21.333333333333332</v>
      </c>
    </row>
    <row r="629" spans="1:10" x14ac:dyDescent="0.25">
      <c r="A629" t="str">
        <f>+_xlfn.CONCAT(Info_Camas[[#This Row],[Bloque]],Info_Camas[[#This Row],[Lado]],Info_Camas[[#This Row],[Cama]])</f>
        <v>04B030</v>
      </c>
      <c r="B629" t="s">
        <v>739</v>
      </c>
      <c r="C629" t="s">
        <v>30</v>
      </c>
      <c r="D629" t="s">
        <v>21</v>
      </c>
      <c r="E629" t="s">
        <v>46</v>
      </c>
      <c r="F629" t="s">
        <v>118</v>
      </c>
      <c r="G629">
        <v>54.933</v>
      </c>
      <c r="H629" s="9">
        <v>9</v>
      </c>
      <c r="I629" s="9">
        <v>190</v>
      </c>
      <c r="J629" s="6">
        <f>IFERROR(Info_Camas[[#This Row],[Lineas]]/Info_Camas[[#This Row],[Cortinas]],"Pendiente")</f>
        <v>21.111111111111111</v>
      </c>
    </row>
    <row r="630" spans="1:10" x14ac:dyDescent="0.25">
      <c r="A630" t="str">
        <f>+_xlfn.CONCAT(Info_Camas[[#This Row],[Bloque]],Info_Camas[[#This Row],[Lado]],Info_Camas[[#This Row],[Cama]])</f>
        <v>04A031</v>
      </c>
      <c r="B630" t="s">
        <v>739</v>
      </c>
      <c r="C630" t="s">
        <v>30</v>
      </c>
      <c r="D630" t="s">
        <v>15</v>
      </c>
      <c r="E630" t="s">
        <v>46</v>
      </c>
      <c r="F630" t="s">
        <v>121</v>
      </c>
      <c r="G630">
        <v>54.933</v>
      </c>
      <c r="H630" s="9">
        <v>9</v>
      </c>
      <c r="I630" s="9">
        <v>192</v>
      </c>
      <c r="J630" s="6">
        <f>IFERROR(Info_Camas[[#This Row],[Lineas]]/Info_Camas[[#This Row],[Cortinas]],"Pendiente")</f>
        <v>21.333333333333332</v>
      </c>
    </row>
    <row r="631" spans="1:10" x14ac:dyDescent="0.25">
      <c r="A631" t="str">
        <f>+_xlfn.CONCAT(Info_Camas[[#This Row],[Bloque]],Info_Camas[[#This Row],[Lado]],Info_Camas[[#This Row],[Cama]])</f>
        <v>04B031</v>
      </c>
      <c r="B631" t="s">
        <v>739</v>
      </c>
      <c r="C631" t="s">
        <v>30</v>
      </c>
      <c r="D631" t="s">
        <v>21</v>
      </c>
      <c r="E631" t="s">
        <v>46</v>
      </c>
      <c r="F631" t="s">
        <v>121</v>
      </c>
      <c r="G631">
        <v>54.933</v>
      </c>
      <c r="H631" s="9">
        <v>9</v>
      </c>
      <c r="I631" s="9">
        <v>191</v>
      </c>
      <c r="J631" s="6">
        <f>IFERROR(Info_Camas[[#This Row],[Lineas]]/Info_Camas[[#This Row],[Cortinas]],"Pendiente")</f>
        <v>21.222222222222221</v>
      </c>
    </row>
    <row r="632" spans="1:10" x14ac:dyDescent="0.25">
      <c r="A632" t="str">
        <f>+_xlfn.CONCAT(Info_Camas[[#This Row],[Bloque]],Info_Camas[[#This Row],[Lado]],Info_Camas[[#This Row],[Cama]])</f>
        <v>04A032</v>
      </c>
      <c r="B632" t="s">
        <v>739</v>
      </c>
      <c r="C632" t="s">
        <v>30</v>
      </c>
      <c r="D632" t="s">
        <v>15</v>
      </c>
      <c r="E632" t="s">
        <v>46</v>
      </c>
      <c r="F632" t="s">
        <v>124</v>
      </c>
      <c r="G632">
        <v>40.2804</v>
      </c>
      <c r="H632" s="9">
        <v>9</v>
      </c>
      <c r="I632" s="9">
        <v>192</v>
      </c>
      <c r="J632" s="6">
        <f>IFERROR(Info_Camas[[#This Row],[Lineas]]/Info_Camas[[#This Row],[Cortinas]],"Pendiente")</f>
        <v>21.333333333333332</v>
      </c>
    </row>
    <row r="633" spans="1:10" x14ac:dyDescent="0.25">
      <c r="A633" t="str">
        <f>+_xlfn.CONCAT(Info_Camas[[#This Row],[Bloque]],Info_Camas[[#This Row],[Lado]],Info_Camas[[#This Row],[Cama]])</f>
        <v>04B032</v>
      </c>
      <c r="B633" t="s">
        <v>739</v>
      </c>
      <c r="C633" t="s">
        <v>30</v>
      </c>
      <c r="D633" t="s">
        <v>21</v>
      </c>
      <c r="E633" t="s">
        <v>46</v>
      </c>
      <c r="F633" t="s">
        <v>124</v>
      </c>
      <c r="G633">
        <v>54.933</v>
      </c>
      <c r="H633" s="9">
        <v>9</v>
      </c>
      <c r="I633" s="9">
        <v>172</v>
      </c>
      <c r="J633" s="6">
        <f>IFERROR(Info_Camas[[#This Row],[Lineas]]/Info_Camas[[#This Row],[Cortinas]],"Pendiente")</f>
        <v>19.111111111111111</v>
      </c>
    </row>
    <row r="634" spans="1:10" x14ac:dyDescent="0.25">
      <c r="A634" t="str">
        <f>+_xlfn.CONCAT(Info_Camas[[#This Row],[Bloque]],Info_Camas[[#This Row],[Lado]],Info_Camas[[#This Row],[Cama]])</f>
        <v>04A033</v>
      </c>
      <c r="B634" t="s">
        <v>739</v>
      </c>
      <c r="C634" t="s">
        <v>30</v>
      </c>
      <c r="D634" t="s">
        <v>15</v>
      </c>
      <c r="E634" t="s">
        <v>51</v>
      </c>
      <c r="F634" t="s">
        <v>126</v>
      </c>
      <c r="G634">
        <v>54.933</v>
      </c>
      <c r="H634" s="9">
        <v>9</v>
      </c>
      <c r="I634" s="9">
        <v>194</v>
      </c>
      <c r="J634" s="6">
        <f>IFERROR(Info_Camas[[#This Row],[Lineas]]/Info_Camas[[#This Row],[Cortinas]],"Pendiente")</f>
        <v>21.555555555555557</v>
      </c>
    </row>
    <row r="635" spans="1:10" x14ac:dyDescent="0.25">
      <c r="A635" t="str">
        <f>+_xlfn.CONCAT(Info_Camas[[#This Row],[Bloque]],Info_Camas[[#This Row],[Lado]],Info_Camas[[#This Row],[Cama]])</f>
        <v>04B033</v>
      </c>
      <c r="B635" t="s">
        <v>739</v>
      </c>
      <c r="C635" t="s">
        <v>30</v>
      </c>
      <c r="D635" t="s">
        <v>21</v>
      </c>
      <c r="E635" t="s">
        <v>51</v>
      </c>
      <c r="F635" t="s">
        <v>126</v>
      </c>
      <c r="G635">
        <v>54.933</v>
      </c>
      <c r="H635" s="9">
        <v>9</v>
      </c>
      <c r="I635" s="9">
        <v>177</v>
      </c>
      <c r="J635" s="6">
        <f>IFERROR(Info_Camas[[#This Row],[Lineas]]/Info_Camas[[#This Row],[Cortinas]],"Pendiente")</f>
        <v>19.666666666666668</v>
      </c>
    </row>
    <row r="636" spans="1:10" x14ac:dyDescent="0.25">
      <c r="A636" t="str">
        <f>+_xlfn.CONCAT(Info_Camas[[#This Row],[Bloque]],Info_Camas[[#This Row],[Lado]],Info_Camas[[#This Row],[Cama]])</f>
        <v>04A034</v>
      </c>
      <c r="B636" t="s">
        <v>739</v>
      </c>
      <c r="C636" t="s">
        <v>30</v>
      </c>
      <c r="D636" t="s">
        <v>15</v>
      </c>
      <c r="E636" t="s">
        <v>51</v>
      </c>
      <c r="F636" t="s">
        <v>128</v>
      </c>
      <c r="G636">
        <v>54.933</v>
      </c>
      <c r="H636" s="9">
        <v>9</v>
      </c>
      <c r="I636" s="9">
        <v>192</v>
      </c>
      <c r="J636" s="6">
        <f>IFERROR(Info_Camas[[#This Row],[Lineas]]/Info_Camas[[#This Row],[Cortinas]],"Pendiente")</f>
        <v>21.333333333333332</v>
      </c>
    </row>
    <row r="637" spans="1:10" x14ac:dyDescent="0.25">
      <c r="A637" t="str">
        <f>+_xlfn.CONCAT(Info_Camas[[#This Row],[Bloque]],Info_Camas[[#This Row],[Lado]],Info_Camas[[#This Row],[Cama]])</f>
        <v>04B034</v>
      </c>
      <c r="B637" t="s">
        <v>739</v>
      </c>
      <c r="C637" t="s">
        <v>30</v>
      </c>
      <c r="D637" t="s">
        <v>21</v>
      </c>
      <c r="E637" t="s">
        <v>51</v>
      </c>
      <c r="F637" t="s">
        <v>128</v>
      </c>
      <c r="G637">
        <v>54.933</v>
      </c>
      <c r="H637" s="9">
        <v>9</v>
      </c>
      <c r="I637" s="9">
        <v>176</v>
      </c>
      <c r="J637" s="6">
        <f>IFERROR(Info_Camas[[#This Row],[Lineas]]/Info_Camas[[#This Row],[Cortinas]],"Pendiente")</f>
        <v>19.555555555555557</v>
      </c>
    </row>
    <row r="638" spans="1:10" x14ac:dyDescent="0.25">
      <c r="A638" t="str">
        <f>+_xlfn.CONCAT(Info_Camas[[#This Row],[Bloque]],Info_Camas[[#This Row],[Lado]],Info_Camas[[#This Row],[Cama]])</f>
        <v>04A035</v>
      </c>
      <c r="B638" t="s">
        <v>739</v>
      </c>
      <c r="C638" t="s">
        <v>30</v>
      </c>
      <c r="D638" t="s">
        <v>15</v>
      </c>
      <c r="E638" t="s">
        <v>51</v>
      </c>
      <c r="F638" t="s">
        <v>130</v>
      </c>
      <c r="G638">
        <v>54.933</v>
      </c>
      <c r="H638" s="9">
        <v>9</v>
      </c>
      <c r="I638" s="9">
        <v>194</v>
      </c>
      <c r="J638" s="6">
        <f>IFERROR(Info_Camas[[#This Row],[Lineas]]/Info_Camas[[#This Row],[Cortinas]],"Pendiente")</f>
        <v>21.555555555555557</v>
      </c>
    </row>
    <row r="639" spans="1:10" x14ac:dyDescent="0.25">
      <c r="A639" t="str">
        <f>+_xlfn.CONCAT(Info_Camas[[#This Row],[Bloque]],Info_Camas[[#This Row],[Lado]],Info_Camas[[#This Row],[Cama]])</f>
        <v>04B035</v>
      </c>
      <c r="B639" t="s">
        <v>739</v>
      </c>
      <c r="C639" t="s">
        <v>30</v>
      </c>
      <c r="D639" t="s">
        <v>21</v>
      </c>
      <c r="E639" t="s">
        <v>51</v>
      </c>
      <c r="F639" t="s">
        <v>130</v>
      </c>
      <c r="G639">
        <v>30.5183</v>
      </c>
      <c r="H639" s="9">
        <v>9</v>
      </c>
      <c r="I639" s="9">
        <v>177</v>
      </c>
      <c r="J639" s="6">
        <f>IFERROR(Info_Camas[[#This Row],[Lineas]]/Info_Camas[[#This Row],[Cortinas]],"Pendiente")</f>
        <v>19.666666666666668</v>
      </c>
    </row>
    <row r="640" spans="1:10" x14ac:dyDescent="0.25">
      <c r="A640" t="str">
        <f>+_xlfn.CONCAT(Info_Camas[[#This Row],[Bloque]],Info_Camas[[#This Row],[Lado]],Info_Camas[[#This Row],[Cama]])</f>
        <v>04A036</v>
      </c>
      <c r="B640" t="s">
        <v>739</v>
      </c>
      <c r="C640" t="s">
        <v>30</v>
      </c>
      <c r="D640" t="s">
        <v>15</v>
      </c>
      <c r="E640" t="s">
        <v>51</v>
      </c>
      <c r="F640" t="s">
        <v>132</v>
      </c>
      <c r="G640">
        <v>54.933</v>
      </c>
      <c r="H640" s="9">
        <v>9</v>
      </c>
      <c r="I640" s="9">
        <v>191</v>
      </c>
      <c r="J640" s="6">
        <f>IFERROR(Info_Camas[[#This Row],[Lineas]]/Info_Camas[[#This Row],[Cortinas]],"Pendiente")</f>
        <v>21.222222222222221</v>
      </c>
    </row>
    <row r="641" spans="1:10" x14ac:dyDescent="0.25">
      <c r="A641" t="str">
        <f>+_xlfn.CONCAT(Info_Camas[[#This Row],[Bloque]],Info_Camas[[#This Row],[Lado]],Info_Camas[[#This Row],[Cama]])</f>
        <v>04B036</v>
      </c>
      <c r="B641" t="s">
        <v>739</v>
      </c>
      <c r="C641" t="s">
        <v>30</v>
      </c>
      <c r="D641" t="s">
        <v>21</v>
      </c>
      <c r="E641" t="s">
        <v>51</v>
      </c>
      <c r="F641" t="s">
        <v>132</v>
      </c>
      <c r="G641">
        <v>54.933</v>
      </c>
      <c r="H641" s="9">
        <v>9</v>
      </c>
      <c r="I641" s="9">
        <v>177</v>
      </c>
      <c r="J641" s="6">
        <f>IFERROR(Info_Camas[[#This Row],[Lineas]]/Info_Camas[[#This Row],[Cortinas]],"Pendiente")</f>
        <v>19.666666666666668</v>
      </c>
    </row>
    <row r="642" spans="1:10" x14ac:dyDescent="0.25">
      <c r="A642" t="str">
        <f>+_xlfn.CONCAT(Info_Camas[[#This Row],[Bloque]],Info_Camas[[#This Row],[Lado]],Info_Camas[[#This Row],[Cama]])</f>
        <v>04A037</v>
      </c>
      <c r="B642" t="s">
        <v>739</v>
      </c>
      <c r="C642" t="s">
        <v>30</v>
      </c>
      <c r="D642" t="s">
        <v>15</v>
      </c>
      <c r="E642" t="s">
        <v>54</v>
      </c>
      <c r="F642" t="s">
        <v>134</v>
      </c>
      <c r="G642">
        <v>16.1982</v>
      </c>
      <c r="H642" s="9">
        <v>9</v>
      </c>
      <c r="I642" s="9">
        <v>186</v>
      </c>
      <c r="J642" s="6">
        <f>IFERROR(Info_Camas[[#This Row],[Lineas]]/Info_Camas[[#This Row],[Cortinas]],"Pendiente")</f>
        <v>20.666666666666668</v>
      </c>
    </row>
    <row r="643" spans="1:10" x14ac:dyDescent="0.25">
      <c r="A643" t="str">
        <f>+_xlfn.CONCAT(Info_Camas[[#This Row],[Bloque]],Info_Camas[[#This Row],[Lado]],Info_Camas[[#This Row],[Cama]])</f>
        <v>04B037</v>
      </c>
      <c r="B643" t="s">
        <v>739</v>
      </c>
      <c r="C643" t="s">
        <v>30</v>
      </c>
      <c r="D643" t="s">
        <v>21</v>
      </c>
      <c r="E643" t="s">
        <v>54</v>
      </c>
      <c r="F643" t="s">
        <v>134</v>
      </c>
      <c r="G643">
        <v>54.933</v>
      </c>
      <c r="H643" s="9">
        <v>9</v>
      </c>
      <c r="I643" s="9">
        <v>190</v>
      </c>
      <c r="J643" s="6">
        <f>IFERROR(Info_Camas[[#This Row],[Lineas]]/Info_Camas[[#This Row],[Cortinas]],"Pendiente")</f>
        <v>21.111111111111111</v>
      </c>
    </row>
    <row r="644" spans="1:10" x14ac:dyDescent="0.25">
      <c r="A644" t="str">
        <f>+_xlfn.CONCAT(Info_Camas[[#This Row],[Bloque]],Info_Camas[[#This Row],[Lado]],Info_Camas[[#This Row],[Cama]])</f>
        <v>04A038</v>
      </c>
      <c r="B644" t="s">
        <v>739</v>
      </c>
      <c r="C644" t="s">
        <v>30</v>
      </c>
      <c r="D644" t="s">
        <v>15</v>
      </c>
      <c r="E644" t="s">
        <v>54</v>
      </c>
      <c r="F644" t="s">
        <v>137</v>
      </c>
      <c r="G644">
        <v>54.933</v>
      </c>
      <c r="H644" s="9">
        <v>9</v>
      </c>
      <c r="I644" s="9">
        <v>185</v>
      </c>
      <c r="J644" s="6">
        <f>IFERROR(Info_Camas[[#This Row],[Lineas]]/Info_Camas[[#This Row],[Cortinas]],"Pendiente")</f>
        <v>20.555555555555557</v>
      </c>
    </row>
    <row r="645" spans="1:10" x14ac:dyDescent="0.25">
      <c r="A645" t="str">
        <f>+_xlfn.CONCAT(Info_Camas[[#This Row],[Bloque]],Info_Camas[[#This Row],[Lado]],Info_Camas[[#This Row],[Cama]])</f>
        <v>04B038</v>
      </c>
      <c r="B645" t="s">
        <v>739</v>
      </c>
      <c r="C645" t="s">
        <v>30</v>
      </c>
      <c r="D645" t="s">
        <v>21</v>
      </c>
      <c r="E645" t="s">
        <v>54</v>
      </c>
      <c r="F645" t="s">
        <v>137</v>
      </c>
      <c r="G645">
        <v>54.933</v>
      </c>
      <c r="H645" s="9">
        <v>9</v>
      </c>
      <c r="I645" s="9">
        <v>191</v>
      </c>
      <c r="J645" s="6">
        <f>IFERROR(Info_Camas[[#This Row],[Lineas]]/Info_Camas[[#This Row],[Cortinas]],"Pendiente")</f>
        <v>21.222222222222221</v>
      </c>
    </row>
    <row r="646" spans="1:10" x14ac:dyDescent="0.25">
      <c r="A646" t="str">
        <f>+_xlfn.CONCAT(Info_Camas[[#This Row],[Bloque]],Info_Camas[[#This Row],[Lado]],Info_Camas[[#This Row],[Cama]])</f>
        <v>04A039</v>
      </c>
      <c r="B646" t="s">
        <v>739</v>
      </c>
      <c r="C646" t="s">
        <v>30</v>
      </c>
      <c r="D646" t="s">
        <v>15</v>
      </c>
      <c r="E646" t="s">
        <v>54</v>
      </c>
      <c r="F646" t="s">
        <v>139</v>
      </c>
      <c r="G646">
        <v>54.933</v>
      </c>
      <c r="H646" s="9">
        <v>9</v>
      </c>
      <c r="I646" s="9">
        <v>186</v>
      </c>
      <c r="J646" s="6">
        <f>IFERROR(Info_Camas[[#This Row],[Lineas]]/Info_Camas[[#This Row],[Cortinas]],"Pendiente")</f>
        <v>20.666666666666668</v>
      </c>
    </row>
    <row r="647" spans="1:10" x14ac:dyDescent="0.25">
      <c r="A647" t="str">
        <f>+_xlfn.CONCAT(Info_Camas[[#This Row],[Bloque]],Info_Camas[[#This Row],[Lado]],Info_Camas[[#This Row],[Cama]])</f>
        <v>04B039</v>
      </c>
      <c r="B647" t="s">
        <v>739</v>
      </c>
      <c r="C647" t="s">
        <v>30</v>
      </c>
      <c r="D647" t="s">
        <v>21</v>
      </c>
      <c r="E647" t="s">
        <v>54</v>
      </c>
      <c r="F647" t="s">
        <v>139</v>
      </c>
      <c r="G647">
        <v>54.933</v>
      </c>
      <c r="H647" s="9">
        <v>9</v>
      </c>
      <c r="I647" s="9">
        <v>191</v>
      </c>
      <c r="J647" s="6">
        <f>IFERROR(Info_Camas[[#This Row],[Lineas]]/Info_Camas[[#This Row],[Cortinas]],"Pendiente")</f>
        <v>21.222222222222221</v>
      </c>
    </row>
    <row r="648" spans="1:10" x14ac:dyDescent="0.25">
      <c r="A648" t="str">
        <f>+_xlfn.CONCAT(Info_Camas[[#This Row],[Bloque]],Info_Camas[[#This Row],[Lado]],Info_Camas[[#This Row],[Cama]])</f>
        <v>04A040</v>
      </c>
      <c r="B648" t="s">
        <v>739</v>
      </c>
      <c r="C648" t="s">
        <v>30</v>
      </c>
      <c r="D648" t="s">
        <v>15</v>
      </c>
      <c r="E648" t="s">
        <v>54</v>
      </c>
      <c r="F648" t="s">
        <v>141</v>
      </c>
      <c r="G648">
        <v>54.933</v>
      </c>
      <c r="H648" s="9">
        <v>9</v>
      </c>
      <c r="I648" s="9">
        <v>187</v>
      </c>
      <c r="J648" s="6">
        <f>IFERROR(Info_Camas[[#This Row],[Lineas]]/Info_Camas[[#This Row],[Cortinas]],"Pendiente")</f>
        <v>20.777777777777779</v>
      </c>
    </row>
    <row r="649" spans="1:10" x14ac:dyDescent="0.25">
      <c r="A649" t="str">
        <f>+_xlfn.CONCAT(Info_Camas[[#This Row],[Bloque]],Info_Camas[[#This Row],[Lado]],Info_Camas[[#This Row],[Cama]])</f>
        <v>04B040</v>
      </c>
      <c r="B649" t="s">
        <v>739</v>
      </c>
      <c r="C649" t="s">
        <v>30</v>
      </c>
      <c r="D649" t="s">
        <v>21</v>
      </c>
      <c r="E649" t="s">
        <v>54</v>
      </c>
      <c r="F649" t="s">
        <v>141</v>
      </c>
      <c r="G649">
        <v>54.933</v>
      </c>
      <c r="H649" s="9">
        <v>9</v>
      </c>
      <c r="I649" s="9">
        <v>191</v>
      </c>
      <c r="J649" s="6">
        <f>IFERROR(Info_Camas[[#This Row],[Lineas]]/Info_Camas[[#This Row],[Cortinas]],"Pendiente")</f>
        <v>21.222222222222221</v>
      </c>
    </row>
    <row r="650" spans="1:10" x14ac:dyDescent="0.25">
      <c r="A650" t="str">
        <f>+_xlfn.CONCAT(Info_Camas[[#This Row],[Bloque]],Info_Camas[[#This Row],[Lado]],Info_Camas[[#This Row],[Cama]])</f>
        <v>04A041</v>
      </c>
      <c r="B650" t="s">
        <v>739</v>
      </c>
      <c r="C650" t="s">
        <v>30</v>
      </c>
      <c r="D650" t="s">
        <v>15</v>
      </c>
      <c r="E650" t="s">
        <v>57</v>
      </c>
      <c r="F650" t="s">
        <v>143</v>
      </c>
      <c r="G650">
        <v>54.933</v>
      </c>
      <c r="H650" s="9">
        <v>9</v>
      </c>
      <c r="I650" s="9">
        <v>186</v>
      </c>
      <c r="J650" s="6">
        <f>IFERROR(Info_Camas[[#This Row],[Lineas]]/Info_Camas[[#This Row],[Cortinas]],"Pendiente")</f>
        <v>20.666666666666668</v>
      </c>
    </row>
    <row r="651" spans="1:10" x14ac:dyDescent="0.25">
      <c r="A651" t="str">
        <f>+_xlfn.CONCAT(Info_Camas[[#This Row],[Bloque]],Info_Camas[[#This Row],[Lado]],Info_Camas[[#This Row],[Cama]])</f>
        <v>04B041</v>
      </c>
      <c r="B651" t="s">
        <v>739</v>
      </c>
      <c r="C651" t="s">
        <v>30</v>
      </c>
      <c r="D651" t="s">
        <v>21</v>
      </c>
      <c r="E651" t="s">
        <v>57</v>
      </c>
      <c r="F651" t="s">
        <v>143</v>
      </c>
      <c r="G651">
        <v>54.933</v>
      </c>
      <c r="H651" s="9">
        <v>9</v>
      </c>
      <c r="I651" s="9">
        <v>189</v>
      </c>
      <c r="J651" s="6">
        <f>IFERROR(Info_Camas[[#This Row],[Lineas]]/Info_Camas[[#This Row],[Cortinas]],"Pendiente")</f>
        <v>21</v>
      </c>
    </row>
    <row r="652" spans="1:10" x14ac:dyDescent="0.25">
      <c r="A652" t="str">
        <f>+_xlfn.CONCAT(Info_Camas[[#This Row],[Bloque]],Info_Camas[[#This Row],[Lado]],Info_Camas[[#This Row],[Cama]])</f>
        <v>04A042</v>
      </c>
      <c r="B652" t="s">
        <v>739</v>
      </c>
      <c r="C652" t="s">
        <v>30</v>
      </c>
      <c r="D652" t="s">
        <v>15</v>
      </c>
      <c r="E652" t="s">
        <v>57</v>
      </c>
      <c r="F652" t="s">
        <v>145</v>
      </c>
      <c r="G652">
        <v>54.933</v>
      </c>
      <c r="H652" s="9">
        <v>9</v>
      </c>
      <c r="I652" s="9">
        <v>188</v>
      </c>
      <c r="J652" s="6">
        <f>IFERROR(Info_Camas[[#This Row],[Lineas]]/Info_Camas[[#This Row],[Cortinas]],"Pendiente")</f>
        <v>20.888888888888889</v>
      </c>
    </row>
    <row r="653" spans="1:10" x14ac:dyDescent="0.25">
      <c r="A653" t="str">
        <f>+_xlfn.CONCAT(Info_Camas[[#This Row],[Bloque]],Info_Camas[[#This Row],[Lado]],Info_Camas[[#This Row],[Cama]])</f>
        <v>04B042</v>
      </c>
      <c r="B653" t="s">
        <v>739</v>
      </c>
      <c r="C653" t="s">
        <v>30</v>
      </c>
      <c r="D653" t="s">
        <v>21</v>
      </c>
      <c r="E653" t="s">
        <v>57</v>
      </c>
      <c r="F653" t="s">
        <v>145</v>
      </c>
      <c r="G653">
        <v>54.933</v>
      </c>
      <c r="H653" s="9">
        <v>9</v>
      </c>
      <c r="I653" s="9">
        <v>188</v>
      </c>
      <c r="J653" s="6">
        <f>IFERROR(Info_Camas[[#This Row],[Lineas]]/Info_Camas[[#This Row],[Cortinas]],"Pendiente")</f>
        <v>20.888888888888889</v>
      </c>
    </row>
    <row r="654" spans="1:10" x14ac:dyDescent="0.25">
      <c r="A654" t="str">
        <f>+_xlfn.CONCAT(Info_Camas[[#This Row],[Bloque]],Info_Camas[[#This Row],[Lado]],Info_Camas[[#This Row],[Cama]])</f>
        <v>04A043</v>
      </c>
      <c r="B654" t="s">
        <v>739</v>
      </c>
      <c r="C654" t="s">
        <v>30</v>
      </c>
      <c r="D654" t="s">
        <v>15</v>
      </c>
      <c r="E654" t="s">
        <v>57</v>
      </c>
      <c r="F654" t="s">
        <v>147</v>
      </c>
      <c r="G654">
        <v>54.933</v>
      </c>
      <c r="H654" s="9">
        <v>9</v>
      </c>
      <c r="I654" s="9">
        <v>187</v>
      </c>
      <c r="J654" s="6">
        <f>IFERROR(Info_Camas[[#This Row],[Lineas]]/Info_Camas[[#This Row],[Cortinas]],"Pendiente")</f>
        <v>20.777777777777779</v>
      </c>
    </row>
    <row r="655" spans="1:10" x14ac:dyDescent="0.25">
      <c r="A655" t="str">
        <f>+_xlfn.CONCAT(Info_Camas[[#This Row],[Bloque]],Info_Camas[[#This Row],[Lado]],Info_Camas[[#This Row],[Cama]])</f>
        <v>04B043</v>
      </c>
      <c r="B655" t="s">
        <v>739</v>
      </c>
      <c r="C655" t="s">
        <v>30</v>
      </c>
      <c r="D655" t="s">
        <v>21</v>
      </c>
      <c r="E655" t="s">
        <v>57</v>
      </c>
      <c r="F655" t="s">
        <v>147</v>
      </c>
      <c r="G655">
        <v>54.933</v>
      </c>
      <c r="H655" s="9">
        <v>9</v>
      </c>
      <c r="I655" s="9">
        <v>189</v>
      </c>
      <c r="J655" s="6">
        <f>IFERROR(Info_Camas[[#This Row],[Lineas]]/Info_Camas[[#This Row],[Cortinas]],"Pendiente")</f>
        <v>21</v>
      </c>
    </row>
    <row r="656" spans="1:10" x14ac:dyDescent="0.25">
      <c r="A656" t="str">
        <f>+_xlfn.CONCAT(Info_Camas[[#This Row],[Bloque]],Info_Camas[[#This Row],[Lado]],Info_Camas[[#This Row],[Cama]])</f>
        <v>04A044</v>
      </c>
      <c r="B656" t="s">
        <v>739</v>
      </c>
      <c r="C656" t="s">
        <v>30</v>
      </c>
      <c r="D656" t="s">
        <v>15</v>
      </c>
      <c r="E656" t="s">
        <v>57</v>
      </c>
      <c r="F656" t="s">
        <v>149</v>
      </c>
      <c r="G656">
        <v>54.933</v>
      </c>
      <c r="H656" s="9">
        <v>9</v>
      </c>
      <c r="I656" s="9">
        <v>185</v>
      </c>
      <c r="J656" s="6">
        <f>IFERROR(Info_Camas[[#This Row],[Lineas]]/Info_Camas[[#This Row],[Cortinas]],"Pendiente")</f>
        <v>20.555555555555557</v>
      </c>
    </row>
    <row r="657" spans="1:10" x14ac:dyDescent="0.25">
      <c r="A657" t="str">
        <f>+_xlfn.CONCAT(Info_Camas[[#This Row],[Bloque]],Info_Camas[[#This Row],[Lado]],Info_Camas[[#This Row],[Cama]])</f>
        <v>04B044</v>
      </c>
      <c r="B657" t="s">
        <v>739</v>
      </c>
      <c r="C657" t="s">
        <v>30</v>
      </c>
      <c r="D657" t="s">
        <v>21</v>
      </c>
      <c r="E657" t="s">
        <v>57</v>
      </c>
      <c r="F657" t="s">
        <v>149</v>
      </c>
      <c r="G657">
        <v>54.933</v>
      </c>
      <c r="H657" s="9">
        <v>9</v>
      </c>
      <c r="I657" s="9">
        <v>189</v>
      </c>
      <c r="J657" s="6">
        <f>IFERROR(Info_Camas[[#This Row],[Lineas]]/Info_Camas[[#This Row],[Cortinas]],"Pendiente")</f>
        <v>21</v>
      </c>
    </row>
    <row r="658" spans="1:10" x14ac:dyDescent="0.25">
      <c r="A658" t="str">
        <f>+_xlfn.CONCAT(Info_Camas[[#This Row],[Bloque]],Info_Camas[[#This Row],[Lado]],Info_Camas[[#This Row],[Cama]])</f>
        <v>04A045</v>
      </c>
      <c r="B658" t="s">
        <v>739</v>
      </c>
      <c r="C658" t="s">
        <v>30</v>
      </c>
      <c r="D658" t="s">
        <v>15</v>
      </c>
      <c r="E658" t="s">
        <v>61</v>
      </c>
      <c r="F658" t="s">
        <v>151</v>
      </c>
      <c r="G658">
        <v>54.933</v>
      </c>
      <c r="H658" s="9">
        <v>9</v>
      </c>
      <c r="I658" s="9">
        <v>186</v>
      </c>
      <c r="J658" s="6">
        <f>IFERROR(Info_Camas[[#This Row],[Lineas]]/Info_Camas[[#This Row],[Cortinas]],"Pendiente")</f>
        <v>20.666666666666668</v>
      </c>
    </row>
    <row r="659" spans="1:10" x14ac:dyDescent="0.25">
      <c r="A659" t="str">
        <f>+_xlfn.CONCAT(Info_Camas[[#This Row],[Bloque]],Info_Camas[[#This Row],[Lado]],Info_Camas[[#This Row],[Cama]])</f>
        <v>04B045</v>
      </c>
      <c r="B659" t="s">
        <v>739</v>
      </c>
      <c r="C659" t="s">
        <v>30</v>
      </c>
      <c r="D659" t="s">
        <v>21</v>
      </c>
      <c r="E659" t="s">
        <v>61</v>
      </c>
      <c r="F659" t="s">
        <v>151</v>
      </c>
      <c r="G659">
        <v>54.933</v>
      </c>
      <c r="H659" s="9">
        <v>9</v>
      </c>
      <c r="I659" s="9">
        <v>187</v>
      </c>
      <c r="J659" s="6">
        <f>IFERROR(Info_Camas[[#This Row],[Lineas]]/Info_Camas[[#This Row],[Cortinas]],"Pendiente")</f>
        <v>20.777777777777779</v>
      </c>
    </row>
    <row r="660" spans="1:10" x14ac:dyDescent="0.25">
      <c r="A660" t="str">
        <f>+_xlfn.CONCAT(Info_Camas[[#This Row],[Bloque]],Info_Camas[[#This Row],[Lado]],Info_Camas[[#This Row],[Cama]])</f>
        <v>04A046</v>
      </c>
      <c r="B660" t="s">
        <v>739</v>
      </c>
      <c r="C660" t="s">
        <v>30</v>
      </c>
      <c r="D660" t="s">
        <v>15</v>
      </c>
      <c r="E660" t="s">
        <v>61</v>
      </c>
      <c r="F660" t="s">
        <v>153</v>
      </c>
      <c r="G660">
        <v>54.933</v>
      </c>
      <c r="H660" s="9">
        <v>9</v>
      </c>
      <c r="I660" s="9">
        <v>186</v>
      </c>
      <c r="J660" s="6">
        <f>IFERROR(Info_Camas[[#This Row],[Lineas]]/Info_Camas[[#This Row],[Cortinas]],"Pendiente")</f>
        <v>20.666666666666668</v>
      </c>
    </row>
    <row r="661" spans="1:10" x14ac:dyDescent="0.25">
      <c r="A661" t="str">
        <f>+_xlfn.CONCAT(Info_Camas[[#This Row],[Bloque]],Info_Camas[[#This Row],[Lado]],Info_Camas[[#This Row],[Cama]])</f>
        <v>04B046</v>
      </c>
      <c r="B661" t="s">
        <v>739</v>
      </c>
      <c r="C661" t="s">
        <v>30</v>
      </c>
      <c r="D661" t="s">
        <v>21</v>
      </c>
      <c r="E661" t="s">
        <v>61</v>
      </c>
      <c r="F661" t="s">
        <v>153</v>
      </c>
      <c r="G661">
        <v>54.933</v>
      </c>
      <c r="H661" s="9">
        <v>9</v>
      </c>
      <c r="I661" s="9">
        <v>188</v>
      </c>
      <c r="J661" s="6">
        <f>IFERROR(Info_Camas[[#This Row],[Lineas]]/Info_Camas[[#This Row],[Cortinas]],"Pendiente")</f>
        <v>20.888888888888889</v>
      </c>
    </row>
    <row r="662" spans="1:10" x14ac:dyDescent="0.25">
      <c r="A662" t="str">
        <f>+_xlfn.CONCAT(Info_Camas[[#This Row],[Bloque]],Info_Camas[[#This Row],[Lado]],Info_Camas[[#This Row],[Cama]])</f>
        <v>04A047</v>
      </c>
      <c r="B662" t="s">
        <v>739</v>
      </c>
      <c r="C662" t="s">
        <v>30</v>
      </c>
      <c r="D662" t="s">
        <v>15</v>
      </c>
      <c r="E662" t="s">
        <v>61</v>
      </c>
      <c r="F662" t="s">
        <v>155</v>
      </c>
      <c r="G662">
        <v>54.933</v>
      </c>
      <c r="H662" s="9">
        <v>9</v>
      </c>
      <c r="I662" s="9">
        <v>186</v>
      </c>
      <c r="J662" s="6">
        <f>IFERROR(Info_Camas[[#This Row],[Lineas]]/Info_Camas[[#This Row],[Cortinas]],"Pendiente")</f>
        <v>20.666666666666668</v>
      </c>
    </row>
    <row r="663" spans="1:10" x14ac:dyDescent="0.25">
      <c r="A663" t="str">
        <f>+_xlfn.CONCAT(Info_Camas[[#This Row],[Bloque]],Info_Camas[[#This Row],[Lado]],Info_Camas[[#This Row],[Cama]])</f>
        <v>04B047</v>
      </c>
      <c r="B663" t="s">
        <v>739</v>
      </c>
      <c r="C663" t="s">
        <v>30</v>
      </c>
      <c r="D663" t="s">
        <v>21</v>
      </c>
      <c r="E663" t="s">
        <v>61</v>
      </c>
      <c r="F663" t="s">
        <v>155</v>
      </c>
      <c r="G663">
        <v>54.933</v>
      </c>
      <c r="H663" s="9">
        <v>9</v>
      </c>
      <c r="I663" s="9">
        <v>188</v>
      </c>
      <c r="J663" s="6">
        <f>IFERROR(Info_Camas[[#This Row],[Lineas]]/Info_Camas[[#This Row],[Cortinas]],"Pendiente")</f>
        <v>20.888888888888889</v>
      </c>
    </row>
    <row r="664" spans="1:10" x14ac:dyDescent="0.25">
      <c r="A664" t="str">
        <f>+_xlfn.CONCAT(Info_Camas[[#This Row],[Bloque]],Info_Camas[[#This Row],[Lado]],Info_Camas[[#This Row],[Cama]])</f>
        <v>04A048</v>
      </c>
      <c r="B664" t="s">
        <v>739</v>
      </c>
      <c r="C664" t="s">
        <v>30</v>
      </c>
      <c r="D664" t="s">
        <v>15</v>
      </c>
      <c r="E664" t="s">
        <v>61</v>
      </c>
      <c r="F664" t="s">
        <v>158</v>
      </c>
      <c r="G664">
        <v>54.933</v>
      </c>
      <c r="H664" s="9">
        <v>9</v>
      </c>
      <c r="I664" s="9">
        <v>186</v>
      </c>
      <c r="J664" s="6">
        <f>IFERROR(Info_Camas[[#This Row],[Lineas]]/Info_Camas[[#This Row],[Cortinas]],"Pendiente")</f>
        <v>20.666666666666668</v>
      </c>
    </row>
    <row r="665" spans="1:10" x14ac:dyDescent="0.25">
      <c r="A665" t="str">
        <f>+_xlfn.CONCAT(Info_Camas[[#This Row],[Bloque]],Info_Camas[[#This Row],[Lado]],Info_Camas[[#This Row],[Cama]])</f>
        <v>04B048</v>
      </c>
      <c r="B665" t="s">
        <v>739</v>
      </c>
      <c r="C665" t="s">
        <v>30</v>
      </c>
      <c r="D665" t="s">
        <v>21</v>
      </c>
      <c r="E665" t="s">
        <v>61</v>
      </c>
      <c r="F665" t="s">
        <v>158</v>
      </c>
      <c r="G665">
        <v>54.933</v>
      </c>
      <c r="H665" s="9">
        <v>9</v>
      </c>
      <c r="I665" s="9">
        <v>189</v>
      </c>
      <c r="J665" s="6">
        <f>IFERROR(Info_Camas[[#This Row],[Lineas]]/Info_Camas[[#This Row],[Cortinas]],"Pendiente")</f>
        <v>21</v>
      </c>
    </row>
    <row r="666" spans="1:10" x14ac:dyDescent="0.25">
      <c r="A666" t="str">
        <f>+_xlfn.CONCAT(Info_Camas[[#This Row],[Bloque]],Info_Camas[[#This Row],[Lado]],Info_Camas[[#This Row],[Cama]])</f>
        <v>04A049</v>
      </c>
      <c r="B666" t="s">
        <v>739</v>
      </c>
      <c r="C666" t="s">
        <v>30</v>
      </c>
      <c r="D666" t="s">
        <v>15</v>
      </c>
      <c r="E666" t="s">
        <v>64</v>
      </c>
      <c r="F666" t="s">
        <v>161</v>
      </c>
      <c r="G666">
        <v>54.933</v>
      </c>
      <c r="H666" s="9">
        <v>9</v>
      </c>
      <c r="I666" s="9">
        <v>185</v>
      </c>
      <c r="J666" s="6">
        <f>IFERROR(Info_Camas[[#This Row],[Lineas]]/Info_Camas[[#This Row],[Cortinas]],"Pendiente")</f>
        <v>20.555555555555557</v>
      </c>
    </row>
    <row r="667" spans="1:10" x14ac:dyDescent="0.25">
      <c r="A667" t="str">
        <f>+_xlfn.CONCAT(Info_Camas[[#This Row],[Bloque]],Info_Camas[[#This Row],[Lado]],Info_Camas[[#This Row],[Cama]])</f>
        <v>04B049</v>
      </c>
      <c r="B667" t="s">
        <v>739</v>
      </c>
      <c r="C667" t="s">
        <v>30</v>
      </c>
      <c r="D667" t="s">
        <v>21</v>
      </c>
      <c r="E667" t="s">
        <v>64</v>
      </c>
      <c r="F667" t="s">
        <v>161</v>
      </c>
      <c r="G667">
        <v>54.933</v>
      </c>
      <c r="H667" s="9">
        <v>9</v>
      </c>
      <c r="I667" s="9">
        <v>190</v>
      </c>
      <c r="J667" s="6">
        <f>IFERROR(Info_Camas[[#This Row],[Lineas]]/Info_Camas[[#This Row],[Cortinas]],"Pendiente")</f>
        <v>21.111111111111111</v>
      </c>
    </row>
    <row r="668" spans="1:10" x14ac:dyDescent="0.25">
      <c r="A668" t="str">
        <f>+_xlfn.CONCAT(Info_Camas[[#This Row],[Bloque]],Info_Camas[[#This Row],[Lado]],Info_Camas[[#This Row],[Cama]])</f>
        <v>04A050</v>
      </c>
      <c r="B668" t="s">
        <v>739</v>
      </c>
      <c r="C668" t="s">
        <v>30</v>
      </c>
      <c r="D668" t="s">
        <v>15</v>
      </c>
      <c r="E668" t="s">
        <v>64</v>
      </c>
      <c r="F668" t="s">
        <v>163</v>
      </c>
      <c r="G668">
        <v>54.933</v>
      </c>
      <c r="H668" s="9">
        <v>9</v>
      </c>
      <c r="I668" s="9">
        <v>187</v>
      </c>
      <c r="J668" s="6">
        <f>IFERROR(Info_Camas[[#This Row],[Lineas]]/Info_Camas[[#This Row],[Cortinas]],"Pendiente")</f>
        <v>20.777777777777779</v>
      </c>
    </row>
    <row r="669" spans="1:10" x14ac:dyDescent="0.25">
      <c r="A669" t="str">
        <f>+_xlfn.CONCAT(Info_Camas[[#This Row],[Bloque]],Info_Camas[[#This Row],[Lado]],Info_Camas[[#This Row],[Cama]])</f>
        <v>04B050</v>
      </c>
      <c r="B669" t="s">
        <v>739</v>
      </c>
      <c r="C669" t="s">
        <v>30</v>
      </c>
      <c r="D669" t="s">
        <v>21</v>
      </c>
      <c r="E669" t="s">
        <v>64</v>
      </c>
      <c r="F669" t="s">
        <v>163</v>
      </c>
      <c r="G669">
        <v>54.933</v>
      </c>
      <c r="H669" s="9">
        <v>9</v>
      </c>
      <c r="I669" s="9">
        <v>190</v>
      </c>
      <c r="J669" s="6">
        <f>IFERROR(Info_Camas[[#This Row],[Lineas]]/Info_Camas[[#This Row],[Cortinas]],"Pendiente")</f>
        <v>21.111111111111111</v>
      </c>
    </row>
    <row r="670" spans="1:10" x14ac:dyDescent="0.25">
      <c r="A670" t="str">
        <f>+_xlfn.CONCAT(Info_Camas[[#This Row],[Bloque]],Info_Camas[[#This Row],[Lado]],Info_Camas[[#This Row],[Cama]])</f>
        <v>04A051</v>
      </c>
      <c r="B670" t="s">
        <v>739</v>
      </c>
      <c r="C670" t="s">
        <v>30</v>
      </c>
      <c r="D670" t="s">
        <v>15</v>
      </c>
      <c r="E670" t="s">
        <v>64</v>
      </c>
      <c r="F670" t="s">
        <v>165</v>
      </c>
      <c r="G670">
        <v>54.933</v>
      </c>
      <c r="H670" s="9">
        <v>9</v>
      </c>
      <c r="I670" s="9">
        <v>185</v>
      </c>
      <c r="J670" s="6">
        <f>IFERROR(Info_Camas[[#This Row],[Lineas]]/Info_Camas[[#This Row],[Cortinas]],"Pendiente")</f>
        <v>20.555555555555557</v>
      </c>
    </row>
    <row r="671" spans="1:10" x14ac:dyDescent="0.25">
      <c r="A671" t="str">
        <f>+_xlfn.CONCAT(Info_Camas[[#This Row],[Bloque]],Info_Camas[[#This Row],[Lado]],Info_Camas[[#This Row],[Cama]])</f>
        <v>04B051</v>
      </c>
      <c r="B671" t="s">
        <v>739</v>
      </c>
      <c r="C671" t="s">
        <v>30</v>
      </c>
      <c r="D671" t="s">
        <v>21</v>
      </c>
      <c r="E671" t="s">
        <v>64</v>
      </c>
      <c r="F671" t="s">
        <v>165</v>
      </c>
      <c r="G671">
        <v>54.933</v>
      </c>
      <c r="H671" s="9">
        <v>9</v>
      </c>
      <c r="I671" s="9">
        <v>189</v>
      </c>
      <c r="J671" s="6">
        <f>IFERROR(Info_Camas[[#This Row],[Lineas]]/Info_Camas[[#This Row],[Cortinas]],"Pendiente")</f>
        <v>21</v>
      </c>
    </row>
    <row r="672" spans="1:10" x14ac:dyDescent="0.25">
      <c r="A672" t="str">
        <f>+_xlfn.CONCAT(Info_Camas[[#This Row],[Bloque]],Info_Camas[[#This Row],[Lado]],Info_Camas[[#This Row],[Cama]])</f>
        <v>04A052</v>
      </c>
      <c r="B672" t="s">
        <v>739</v>
      </c>
      <c r="C672" t="s">
        <v>30</v>
      </c>
      <c r="D672" t="s">
        <v>15</v>
      </c>
      <c r="E672" t="s">
        <v>64</v>
      </c>
      <c r="F672" t="s">
        <v>167</v>
      </c>
      <c r="G672">
        <v>54.933</v>
      </c>
      <c r="H672" s="9">
        <v>9</v>
      </c>
      <c r="I672" s="9">
        <v>185</v>
      </c>
      <c r="J672" s="6">
        <f>IFERROR(Info_Camas[[#This Row],[Lineas]]/Info_Camas[[#This Row],[Cortinas]],"Pendiente")</f>
        <v>20.555555555555557</v>
      </c>
    </row>
    <row r="673" spans="1:10" x14ac:dyDescent="0.25">
      <c r="A673" t="str">
        <f>+_xlfn.CONCAT(Info_Camas[[#This Row],[Bloque]],Info_Camas[[#This Row],[Lado]],Info_Camas[[#This Row],[Cama]])</f>
        <v>04B052</v>
      </c>
      <c r="B673" t="s">
        <v>739</v>
      </c>
      <c r="C673" t="s">
        <v>30</v>
      </c>
      <c r="D673" t="s">
        <v>21</v>
      </c>
      <c r="E673" t="s">
        <v>64</v>
      </c>
      <c r="F673" t="s">
        <v>167</v>
      </c>
      <c r="G673">
        <v>54.933</v>
      </c>
      <c r="H673" s="9">
        <v>9</v>
      </c>
      <c r="I673" s="9">
        <v>190</v>
      </c>
      <c r="J673" s="6">
        <f>IFERROR(Info_Camas[[#This Row],[Lineas]]/Info_Camas[[#This Row],[Cortinas]],"Pendiente")</f>
        <v>21.111111111111111</v>
      </c>
    </row>
    <row r="674" spans="1:10" x14ac:dyDescent="0.25">
      <c r="A674" t="str">
        <f>+_xlfn.CONCAT(Info_Camas[[#This Row],[Bloque]],Info_Camas[[#This Row],[Lado]],Info_Camas[[#This Row],[Cama]])</f>
        <v>04A053</v>
      </c>
      <c r="B674" t="s">
        <v>739</v>
      </c>
      <c r="C674" t="s">
        <v>30</v>
      </c>
      <c r="D674" t="s">
        <v>15</v>
      </c>
      <c r="E674" t="s">
        <v>67</v>
      </c>
      <c r="F674" t="s">
        <v>169</v>
      </c>
      <c r="G674">
        <v>54.933</v>
      </c>
      <c r="H674" s="9">
        <v>9</v>
      </c>
      <c r="I674" s="9">
        <v>185</v>
      </c>
      <c r="J674" s="6">
        <f>IFERROR(Info_Camas[[#This Row],[Lineas]]/Info_Camas[[#This Row],[Cortinas]],"Pendiente")</f>
        <v>20.555555555555557</v>
      </c>
    </row>
    <row r="675" spans="1:10" x14ac:dyDescent="0.25">
      <c r="A675" t="str">
        <f>+_xlfn.CONCAT(Info_Camas[[#This Row],[Bloque]],Info_Camas[[#This Row],[Lado]],Info_Camas[[#This Row],[Cama]])</f>
        <v>04B053</v>
      </c>
      <c r="B675" t="s">
        <v>739</v>
      </c>
      <c r="C675" t="s">
        <v>30</v>
      </c>
      <c r="D675" t="s">
        <v>21</v>
      </c>
      <c r="E675" t="s">
        <v>67</v>
      </c>
      <c r="F675" t="s">
        <v>169</v>
      </c>
      <c r="G675">
        <v>54.933</v>
      </c>
      <c r="H675" s="9">
        <v>9</v>
      </c>
      <c r="I675" s="9">
        <v>189</v>
      </c>
      <c r="J675" s="6">
        <f>IFERROR(Info_Camas[[#This Row],[Lineas]]/Info_Camas[[#This Row],[Cortinas]],"Pendiente")</f>
        <v>21</v>
      </c>
    </row>
    <row r="676" spans="1:10" x14ac:dyDescent="0.25">
      <c r="A676" t="str">
        <f>+_xlfn.CONCAT(Info_Camas[[#This Row],[Bloque]],Info_Camas[[#This Row],[Lado]],Info_Camas[[#This Row],[Cama]])</f>
        <v>04A054</v>
      </c>
      <c r="B676" t="s">
        <v>739</v>
      </c>
      <c r="C676" t="s">
        <v>30</v>
      </c>
      <c r="D676" t="s">
        <v>15</v>
      </c>
      <c r="E676" t="s">
        <v>67</v>
      </c>
      <c r="F676" t="s">
        <v>171</v>
      </c>
      <c r="G676">
        <v>48.301400000000001</v>
      </c>
      <c r="H676" s="9">
        <v>9</v>
      </c>
      <c r="I676" s="9">
        <v>185</v>
      </c>
      <c r="J676" s="6">
        <f>IFERROR(Info_Camas[[#This Row],[Lineas]]/Info_Camas[[#This Row],[Cortinas]],"Pendiente")</f>
        <v>20.555555555555557</v>
      </c>
    </row>
    <row r="677" spans="1:10" x14ac:dyDescent="0.25">
      <c r="A677" t="str">
        <f>+_xlfn.CONCAT(Info_Camas[[#This Row],[Bloque]],Info_Camas[[#This Row],[Lado]],Info_Camas[[#This Row],[Cama]])</f>
        <v>04B054</v>
      </c>
      <c r="B677" t="s">
        <v>739</v>
      </c>
      <c r="C677" t="s">
        <v>30</v>
      </c>
      <c r="D677" t="s">
        <v>21</v>
      </c>
      <c r="E677" t="s">
        <v>67</v>
      </c>
      <c r="F677" t="s">
        <v>171</v>
      </c>
      <c r="G677">
        <v>54.933</v>
      </c>
      <c r="H677" s="9">
        <v>9</v>
      </c>
      <c r="I677" s="9">
        <v>190</v>
      </c>
      <c r="J677" s="6">
        <f>IFERROR(Info_Camas[[#This Row],[Lineas]]/Info_Camas[[#This Row],[Cortinas]],"Pendiente")</f>
        <v>21.111111111111111</v>
      </c>
    </row>
    <row r="678" spans="1:10" x14ac:dyDescent="0.25">
      <c r="A678" t="str">
        <f>+_xlfn.CONCAT(Info_Camas[[#This Row],[Bloque]],Info_Camas[[#This Row],[Lado]],Info_Camas[[#This Row],[Cama]])</f>
        <v>04A055</v>
      </c>
      <c r="B678" t="s">
        <v>739</v>
      </c>
      <c r="C678" t="s">
        <v>30</v>
      </c>
      <c r="D678" t="s">
        <v>15</v>
      </c>
      <c r="E678" t="s">
        <v>67</v>
      </c>
      <c r="F678" t="s">
        <v>173</v>
      </c>
      <c r="G678">
        <v>54.933</v>
      </c>
      <c r="H678" s="9">
        <v>9</v>
      </c>
      <c r="I678" s="9">
        <v>185</v>
      </c>
      <c r="J678" s="6">
        <f>IFERROR(Info_Camas[[#This Row],[Lineas]]/Info_Camas[[#This Row],[Cortinas]],"Pendiente")</f>
        <v>20.555555555555557</v>
      </c>
    </row>
    <row r="679" spans="1:10" x14ac:dyDescent="0.25">
      <c r="A679" t="str">
        <f>+_xlfn.CONCAT(Info_Camas[[#This Row],[Bloque]],Info_Camas[[#This Row],[Lado]],Info_Camas[[#This Row],[Cama]])</f>
        <v>04B055</v>
      </c>
      <c r="B679" t="s">
        <v>739</v>
      </c>
      <c r="C679" t="s">
        <v>30</v>
      </c>
      <c r="D679" t="s">
        <v>21</v>
      </c>
      <c r="E679" t="s">
        <v>67</v>
      </c>
      <c r="F679" t="s">
        <v>173</v>
      </c>
      <c r="G679">
        <v>54.933</v>
      </c>
      <c r="H679" s="9">
        <v>9</v>
      </c>
      <c r="I679" s="9">
        <v>189</v>
      </c>
      <c r="J679" s="6">
        <f>IFERROR(Info_Camas[[#This Row],[Lineas]]/Info_Camas[[#This Row],[Cortinas]],"Pendiente")</f>
        <v>21</v>
      </c>
    </row>
    <row r="680" spans="1:10" x14ac:dyDescent="0.25">
      <c r="A680" t="str">
        <f>+_xlfn.CONCAT(Info_Camas[[#This Row],[Bloque]],Info_Camas[[#This Row],[Lado]],Info_Camas[[#This Row],[Cama]])</f>
        <v>04A056</v>
      </c>
      <c r="B680" t="s">
        <v>739</v>
      </c>
      <c r="C680" t="s">
        <v>30</v>
      </c>
      <c r="D680" t="s">
        <v>15</v>
      </c>
      <c r="E680" t="s">
        <v>67</v>
      </c>
      <c r="F680" t="s">
        <v>175</v>
      </c>
      <c r="G680">
        <v>54.933</v>
      </c>
      <c r="H680" s="9">
        <v>9</v>
      </c>
      <c r="I680" s="9">
        <v>184</v>
      </c>
      <c r="J680" s="6">
        <f>IFERROR(Info_Camas[[#This Row],[Lineas]]/Info_Camas[[#This Row],[Cortinas]],"Pendiente")</f>
        <v>20.444444444444443</v>
      </c>
    </row>
    <row r="681" spans="1:10" x14ac:dyDescent="0.25">
      <c r="A681" t="str">
        <f>+_xlfn.CONCAT(Info_Camas[[#This Row],[Bloque]],Info_Camas[[#This Row],[Lado]],Info_Camas[[#This Row],[Cama]])</f>
        <v>04B056</v>
      </c>
      <c r="B681" t="s">
        <v>739</v>
      </c>
      <c r="C681" t="s">
        <v>30</v>
      </c>
      <c r="D681" t="s">
        <v>21</v>
      </c>
      <c r="E681" t="s">
        <v>67</v>
      </c>
      <c r="F681" t="s">
        <v>175</v>
      </c>
      <c r="G681">
        <v>54.933</v>
      </c>
      <c r="H681" s="9">
        <v>9</v>
      </c>
      <c r="I681" s="9">
        <v>191</v>
      </c>
      <c r="J681" s="6">
        <f>IFERROR(Info_Camas[[#This Row],[Lineas]]/Info_Camas[[#This Row],[Cortinas]],"Pendiente")</f>
        <v>21.222222222222221</v>
      </c>
    </row>
    <row r="682" spans="1:10" x14ac:dyDescent="0.25">
      <c r="A682" t="str">
        <f>+_xlfn.CONCAT(Info_Camas[[#This Row],[Bloque]],Info_Camas[[#This Row],[Lado]],Info_Camas[[#This Row],[Cama]])</f>
        <v>04A057</v>
      </c>
      <c r="B682" t="s">
        <v>739</v>
      </c>
      <c r="C682" t="s">
        <v>30</v>
      </c>
      <c r="D682" t="s">
        <v>15</v>
      </c>
      <c r="E682" t="s">
        <v>71</v>
      </c>
      <c r="F682" t="s">
        <v>177</v>
      </c>
      <c r="G682">
        <v>54.933</v>
      </c>
      <c r="H682" s="9">
        <v>9</v>
      </c>
      <c r="J682" s="6">
        <f>IFERROR(Info_Camas[[#This Row],[Lineas]]/Info_Camas[[#This Row],[Cortinas]],"Pendiente")</f>
        <v>0</v>
      </c>
    </row>
    <row r="683" spans="1:10" x14ac:dyDescent="0.25">
      <c r="A683" t="str">
        <f>+_xlfn.CONCAT(Info_Camas[[#This Row],[Bloque]],Info_Camas[[#This Row],[Lado]],Info_Camas[[#This Row],[Cama]])</f>
        <v>04B057</v>
      </c>
      <c r="B683" t="s">
        <v>739</v>
      </c>
      <c r="C683" t="s">
        <v>30</v>
      </c>
      <c r="D683" t="s">
        <v>21</v>
      </c>
      <c r="E683" t="s">
        <v>71</v>
      </c>
      <c r="F683" t="s">
        <v>177</v>
      </c>
      <c r="G683">
        <v>54.933</v>
      </c>
      <c r="H683" s="9">
        <v>9</v>
      </c>
      <c r="J683" s="6">
        <f>IFERROR(Info_Camas[[#This Row],[Lineas]]/Info_Camas[[#This Row],[Cortinas]],"Pendiente")</f>
        <v>0</v>
      </c>
    </row>
    <row r="684" spans="1:10" x14ac:dyDescent="0.25">
      <c r="A684" t="str">
        <f>+_xlfn.CONCAT(Info_Camas[[#This Row],[Bloque]],Info_Camas[[#This Row],[Lado]],Info_Camas[[#This Row],[Cama]])</f>
        <v>04A058</v>
      </c>
      <c r="B684" t="s">
        <v>739</v>
      </c>
      <c r="C684" t="s">
        <v>30</v>
      </c>
      <c r="D684" t="s">
        <v>15</v>
      </c>
      <c r="E684" t="s">
        <v>71</v>
      </c>
      <c r="F684" t="s">
        <v>179</v>
      </c>
      <c r="G684">
        <v>54.933</v>
      </c>
      <c r="H684" s="9">
        <v>9</v>
      </c>
      <c r="J684" s="6">
        <f>IFERROR(Info_Camas[[#This Row],[Lineas]]/Info_Camas[[#This Row],[Cortinas]],"Pendiente")</f>
        <v>0</v>
      </c>
    </row>
    <row r="685" spans="1:10" x14ac:dyDescent="0.25">
      <c r="A685" t="str">
        <f>+_xlfn.CONCAT(Info_Camas[[#This Row],[Bloque]],Info_Camas[[#This Row],[Lado]],Info_Camas[[#This Row],[Cama]])</f>
        <v>04B058</v>
      </c>
      <c r="B685" t="s">
        <v>739</v>
      </c>
      <c r="C685" t="s">
        <v>30</v>
      </c>
      <c r="D685" t="s">
        <v>21</v>
      </c>
      <c r="E685" t="s">
        <v>71</v>
      </c>
      <c r="F685" t="s">
        <v>179</v>
      </c>
      <c r="G685">
        <v>54.933</v>
      </c>
      <c r="H685" s="9">
        <v>9</v>
      </c>
      <c r="J685" s="6">
        <f>IFERROR(Info_Camas[[#This Row],[Lineas]]/Info_Camas[[#This Row],[Cortinas]],"Pendiente")</f>
        <v>0</v>
      </c>
    </row>
    <row r="686" spans="1:10" x14ac:dyDescent="0.25">
      <c r="A686" t="str">
        <f>+_xlfn.CONCAT(Info_Camas[[#This Row],[Bloque]],Info_Camas[[#This Row],[Lado]],Info_Camas[[#This Row],[Cama]])</f>
        <v>04A059</v>
      </c>
      <c r="B686" t="s">
        <v>739</v>
      </c>
      <c r="C686" t="s">
        <v>30</v>
      </c>
      <c r="D686" t="s">
        <v>15</v>
      </c>
      <c r="E686" t="s">
        <v>71</v>
      </c>
      <c r="F686" t="s">
        <v>182</v>
      </c>
      <c r="G686">
        <v>54.933</v>
      </c>
      <c r="H686" s="9">
        <v>9</v>
      </c>
      <c r="J686" s="6">
        <f>IFERROR(Info_Camas[[#This Row],[Lineas]]/Info_Camas[[#This Row],[Cortinas]],"Pendiente")</f>
        <v>0</v>
      </c>
    </row>
    <row r="687" spans="1:10" x14ac:dyDescent="0.25">
      <c r="A687" t="str">
        <f>+_xlfn.CONCAT(Info_Camas[[#This Row],[Bloque]],Info_Camas[[#This Row],[Lado]],Info_Camas[[#This Row],[Cama]])</f>
        <v>04B059</v>
      </c>
      <c r="B687" t="s">
        <v>739</v>
      </c>
      <c r="C687" t="s">
        <v>30</v>
      </c>
      <c r="D687" t="s">
        <v>21</v>
      </c>
      <c r="E687" t="s">
        <v>71</v>
      </c>
      <c r="F687" t="s">
        <v>182</v>
      </c>
      <c r="G687">
        <v>16.479900000000001</v>
      </c>
      <c r="H687" s="9">
        <v>9</v>
      </c>
      <c r="J687" s="6">
        <f>IFERROR(Info_Camas[[#This Row],[Lineas]]/Info_Camas[[#This Row],[Cortinas]],"Pendiente")</f>
        <v>0</v>
      </c>
    </row>
    <row r="688" spans="1:10" x14ac:dyDescent="0.25">
      <c r="A688" t="str">
        <f>+_xlfn.CONCAT(Info_Camas[[#This Row],[Bloque]],Info_Camas[[#This Row],[Lado]],Info_Camas[[#This Row],[Cama]])</f>
        <v>04A060</v>
      </c>
      <c r="B688" t="s">
        <v>739</v>
      </c>
      <c r="C688" t="s">
        <v>30</v>
      </c>
      <c r="D688" t="s">
        <v>15</v>
      </c>
      <c r="E688" t="s">
        <v>71</v>
      </c>
      <c r="F688" t="s">
        <v>184</v>
      </c>
      <c r="G688">
        <v>54.933</v>
      </c>
      <c r="H688" s="9">
        <v>9</v>
      </c>
      <c r="J688" s="6">
        <f>IFERROR(Info_Camas[[#This Row],[Lineas]]/Info_Camas[[#This Row],[Cortinas]],"Pendiente")</f>
        <v>0</v>
      </c>
    </row>
    <row r="689" spans="1:10" x14ac:dyDescent="0.25">
      <c r="A689" t="str">
        <f>+_xlfn.CONCAT(Info_Camas[[#This Row],[Bloque]],Info_Camas[[#This Row],[Lado]],Info_Camas[[#This Row],[Cama]])</f>
        <v>04B060</v>
      </c>
      <c r="B689" t="s">
        <v>739</v>
      </c>
      <c r="C689" t="s">
        <v>30</v>
      </c>
      <c r="D689" t="s">
        <v>21</v>
      </c>
      <c r="E689" t="s">
        <v>71</v>
      </c>
      <c r="F689" t="s">
        <v>184</v>
      </c>
      <c r="G689">
        <v>54.933</v>
      </c>
      <c r="H689" s="9">
        <v>9</v>
      </c>
      <c r="J689" s="6">
        <f>IFERROR(Info_Camas[[#This Row],[Lineas]]/Info_Camas[[#This Row],[Cortinas]],"Pendiente")</f>
        <v>0</v>
      </c>
    </row>
    <row r="690" spans="1:10" x14ac:dyDescent="0.25">
      <c r="A690" t="str">
        <f>+_xlfn.CONCAT(Info_Camas[[#This Row],[Bloque]],Info_Camas[[#This Row],[Lado]],Info_Camas[[#This Row],[Cama]])</f>
        <v>04A061</v>
      </c>
      <c r="B690" t="s">
        <v>739</v>
      </c>
      <c r="C690" t="s">
        <v>30</v>
      </c>
      <c r="D690" t="s">
        <v>15</v>
      </c>
      <c r="E690" t="s">
        <v>74</v>
      </c>
      <c r="F690" t="s">
        <v>186</v>
      </c>
      <c r="G690">
        <v>52.192100000000003</v>
      </c>
      <c r="H690" s="9">
        <v>9</v>
      </c>
      <c r="J690" s="6">
        <f>IFERROR(Info_Camas[[#This Row],[Lineas]]/Info_Camas[[#This Row],[Cortinas]],"Pendiente")</f>
        <v>0</v>
      </c>
    </row>
    <row r="691" spans="1:10" x14ac:dyDescent="0.25">
      <c r="A691" t="str">
        <f>+_xlfn.CONCAT(Info_Camas[[#This Row],[Bloque]],Info_Camas[[#This Row],[Lado]],Info_Camas[[#This Row],[Cama]])</f>
        <v>04B061</v>
      </c>
      <c r="B691" t="s">
        <v>739</v>
      </c>
      <c r="C691" t="s">
        <v>30</v>
      </c>
      <c r="D691" t="s">
        <v>21</v>
      </c>
      <c r="E691" t="s">
        <v>74</v>
      </c>
      <c r="F691" t="s">
        <v>186</v>
      </c>
      <c r="G691">
        <v>54.933</v>
      </c>
      <c r="H691" s="9">
        <v>9</v>
      </c>
      <c r="J691" s="6">
        <f>IFERROR(Info_Camas[[#This Row],[Lineas]]/Info_Camas[[#This Row],[Cortinas]],"Pendiente")</f>
        <v>0</v>
      </c>
    </row>
    <row r="692" spans="1:10" x14ac:dyDescent="0.25">
      <c r="A692" t="str">
        <f>+_xlfn.CONCAT(Info_Camas[[#This Row],[Bloque]],Info_Camas[[#This Row],[Lado]],Info_Camas[[#This Row],[Cama]])</f>
        <v>04A062</v>
      </c>
      <c r="B692" t="s">
        <v>739</v>
      </c>
      <c r="C692" t="s">
        <v>30</v>
      </c>
      <c r="D692" t="s">
        <v>15</v>
      </c>
      <c r="E692" t="s">
        <v>74</v>
      </c>
      <c r="F692" t="s">
        <v>188</v>
      </c>
      <c r="G692">
        <v>54.933</v>
      </c>
      <c r="H692" s="9">
        <v>9</v>
      </c>
      <c r="J692" s="6">
        <f>IFERROR(Info_Camas[[#This Row],[Lineas]]/Info_Camas[[#This Row],[Cortinas]],"Pendiente")</f>
        <v>0</v>
      </c>
    </row>
    <row r="693" spans="1:10" x14ac:dyDescent="0.25">
      <c r="A693" t="str">
        <f>+_xlfn.CONCAT(Info_Camas[[#This Row],[Bloque]],Info_Camas[[#This Row],[Lado]],Info_Camas[[#This Row],[Cama]])</f>
        <v>04B062</v>
      </c>
      <c r="B693" t="s">
        <v>739</v>
      </c>
      <c r="C693" t="s">
        <v>30</v>
      </c>
      <c r="D693" t="s">
        <v>21</v>
      </c>
      <c r="E693" t="s">
        <v>74</v>
      </c>
      <c r="F693" t="s">
        <v>188</v>
      </c>
      <c r="G693">
        <v>54.933</v>
      </c>
      <c r="H693" s="9">
        <v>9</v>
      </c>
      <c r="J693" s="6">
        <f>IFERROR(Info_Camas[[#This Row],[Lineas]]/Info_Camas[[#This Row],[Cortinas]],"Pendiente")</f>
        <v>0</v>
      </c>
    </row>
    <row r="694" spans="1:10" x14ac:dyDescent="0.25">
      <c r="A694" t="str">
        <f>+_xlfn.CONCAT(Info_Camas[[#This Row],[Bloque]],Info_Camas[[#This Row],[Lado]],Info_Camas[[#This Row],[Cama]])</f>
        <v>04A063</v>
      </c>
      <c r="B694" t="s">
        <v>739</v>
      </c>
      <c r="C694" t="s">
        <v>30</v>
      </c>
      <c r="D694" t="s">
        <v>15</v>
      </c>
      <c r="E694" t="s">
        <v>74</v>
      </c>
      <c r="F694" t="s">
        <v>190</v>
      </c>
      <c r="G694">
        <v>54.933</v>
      </c>
      <c r="H694" s="9">
        <v>9</v>
      </c>
      <c r="J694" s="6">
        <f>IFERROR(Info_Camas[[#This Row],[Lineas]]/Info_Camas[[#This Row],[Cortinas]],"Pendiente")</f>
        <v>0</v>
      </c>
    </row>
    <row r="695" spans="1:10" x14ac:dyDescent="0.25">
      <c r="A695" t="str">
        <f>+_xlfn.CONCAT(Info_Camas[[#This Row],[Bloque]],Info_Camas[[#This Row],[Lado]],Info_Camas[[#This Row],[Cama]])</f>
        <v>04B063</v>
      </c>
      <c r="B695" t="s">
        <v>739</v>
      </c>
      <c r="C695" t="s">
        <v>30</v>
      </c>
      <c r="D695" t="s">
        <v>21</v>
      </c>
      <c r="E695" t="s">
        <v>74</v>
      </c>
      <c r="F695" t="s">
        <v>190</v>
      </c>
      <c r="G695">
        <v>54.933</v>
      </c>
      <c r="H695" s="9">
        <v>9</v>
      </c>
      <c r="J695" s="6">
        <f>IFERROR(Info_Camas[[#This Row],[Lineas]]/Info_Camas[[#This Row],[Cortinas]],"Pendiente")</f>
        <v>0</v>
      </c>
    </row>
    <row r="696" spans="1:10" x14ac:dyDescent="0.25">
      <c r="A696" t="str">
        <f>+_xlfn.CONCAT(Info_Camas[[#This Row],[Bloque]],Info_Camas[[#This Row],[Lado]],Info_Camas[[#This Row],[Cama]])</f>
        <v>04A064</v>
      </c>
      <c r="B696" t="s">
        <v>739</v>
      </c>
      <c r="C696" t="s">
        <v>30</v>
      </c>
      <c r="D696" t="s">
        <v>15</v>
      </c>
      <c r="E696" t="s">
        <v>74</v>
      </c>
      <c r="F696" t="s">
        <v>192</v>
      </c>
      <c r="G696">
        <v>16.479900000000001</v>
      </c>
      <c r="H696" s="9">
        <v>9</v>
      </c>
      <c r="J696" s="6">
        <f>IFERROR(Info_Camas[[#This Row],[Lineas]]/Info_Camas[[#This Row],[Cortinas]],"Pendiente")</f>
        <v>0</v>
      </c>
    </row>
    <row r="697" spans="1:10" x14ac:dyDescent="0.25">
      <c r="A697" t="str">
        <f>+_xlfn.CONCAT(Info_Camas[[#This Row],[Bloque]],Info_Camas[[#This Row],[Lado]],Info_Camas[[#This Row],[Cama]])</f>
        <v>04B064</v>
      </c>
      <c r="B697" t="s">
        <v>739</v>
      </c>
      <c r="C697" t="s">
        <v>30</v>
      </c>
      <c r="D697" t="s">
        <v>21</v>
      </c>
      <c r="E697" t="s">
        <v>74</v>
      </c>
      <c r="F697" t="s">
        <v>192</v>
      </c>
      <c r="G697">
        <v>54.933</v>
      </c>
      <c r="H697" s="9">
        <v>9</v>
      </c>
      <c r="J697" s="6">
        <f>IFERROR(Info_Camas[[#This Row],[Lineas]]/Info_Camas[[#This Row],[Cortinas]],"Pendiente")</f>
        <v>0</v>
      </c>
    </row>
    <row r="698" spans="1:10" x14ac:dyDescent="0.25">
      <c r="A698" t="str">
        <f>+_xlfn.CONCAT(Info_Camas[[#This Row],[Bloque]],Info_Camas[[#This Row],[Lado]],Info_Camas[[#This Row],[Cama]])</f>
        <v>04A065</v>
      </c>
      <c r="B698" t="s">
        <v>739</v>
      </c>
      <c r="C698" t="s">
        <v>30</v>
      </c>
      <c r="D698" t="s">
        <v>15</v>
      </c>
      <c r="E698" t="s">
        <v>77</v>
      </c>
      <c r="F698" t="s">
        <v>194</v>
      </c>
      <c r="G698">
        <v>54.933</v>
      </c>
      <c r="H698" s="9">
        <v>9</v>
      </c>
      <c r="J698" s="6">
        <f>IFERROR(Info_Camas[[#This Row],[Lineas]]/Info_Camas[[#This Row],[Cortinas]],"Pendiente")</f>
        <v>0</v>
      </c>
    </row>
    <row r="699" spans="1:10" x14ac:dyDescent="0.25">
      <c r="A699" t="str">
        <f>+_xlfn.CONCAT(Info_Camas[[#This Row],[Bloque]],Info_Camas[[#This Row],[Lado]],Info_Camas[[#This Row],[Cama]])</f>
        <v>04B065</v>
      </c>
      <c r="B699" t="s">
        <v>739</v>
      </c>
      <c r="C699" t="s">
        <v>30</v>
      </c>
      <c r="D699" t="s">
        <v>21</v>
      </c>
      <c r="E699" t="s">
        <v>77</v>
      </c>
      <c r="F699" t="s">
        <v>194</v>
      </c>
      <c r="G699">
        <v>54.933</v>
      </c>
      <c r="H699" s="9">
        <v>9</v>
      </c>
      <c r="J699" s="6">
        <f>IFERROR(Info_Camas[[#This Row],[Lineas]]/Info_Camas[[#This Row],[Cortinas]],"Pendiente")</f>
        <v>0</v>
      </c>
    </row>
    <row r="700" spans="1:10" x14ac:dyDescent="0.25">
      <c r="A700" t="str">
        <f>+_xlfn.CONCAT(Info_Camas[[#This Row],[Bloque]],Info_Camas[[#This Row],[Lado]],Info_Camas[[#This Row],[Cama]])</f>
        <v>04A066</v>
      </c>
      <c r="B700" t="s">
        <v>739</v>
      </c>
      <c r="C700" t="s">
        <v>30</v>
      </c>
      <c r="D700" t="s">
        <v>15</v>
      </c>
      <c r="E700" t="s">
        <v>77</v>
      </c>
      <c r="F700" t="s">
        <v>196</v>
      </c>
      <c r="G700">
        <v>18.311</v>
      </c>
      <c r="H700" s="9">
        <v>9</v>
      </c>
      <c r="J700" s="6">
        <f>IFERROR(Info_Camas[[#This Row],[Lineas]]/Info_Camas[[#This Row],[Cortinas]],"Pendiente")</f>
        <v>0</v>
      </c>
    </row>
    <row r="701" spans="1:10" x14ac:dyDescent="0.25">
      <c r="A701" t="str">
        <f>+_xlfn.CONCAT(Info_Camas[[#This Row],[Bloque]],Info_Camas[[#This Row],[Lado]],Info_Camas[[#This Row],[Cama]])</f>
        <v>04B066</v>
      </c>
      <c r="B701" t="s">
        <v>739</v>
      </c>
      <c r="C701" t="s">
        <v>30</v>
      </c>
      <c r="D701" t="s">
        <v>21</v>
      </c>
      <c r="E701" t="s">
        <v>77</v>
      </c>
      <c r="F701" t="s">
        <v>196</v>
      </c>
      <c r="G701">
        <v>54.933</v>
      </c>
      <c r="H701" s="9">
        <v>9</v>
      </c>
      <c r="J701" s="6">
        <f>IFERROR(Info_Camas[[#This Row],[Lineas]]/Info_Camas[[#This Row],[Cortinas]],"Pendiente")</f>
        <v>0</v>
      </c>
    </row>
    <row r="702" spans="1:10" x14ac:dyDescent="0.25">
      <c r="A702" t="str">
        <f>+_xlfn.CONCAT(Info_Camas[[#This Row],[Bloque]],Info_Camas[[#This Row],[Lado]],Info_Camas[[#This Row],[Cama]])</f>
        <v>04A067</v>
      </c>
      <c r="B702" t="s">
        <v>739</v>
      </c>
      <c r="C702" t="s">
        <v>30</v>
      </c>
      <c r="D702" t="s">
        <v>15</v>
      </c>
      <c r="E702" t="s">
        <v>77</v>
      </c>
      <c r="F702" t="s">
        <v>198</v>
      </c>
      <c r="G702">
        <v>54.933</v>
      </c>
      <c r="H702" s="9">
        <v>9</v>
      </c>
      <c r="J702" s="6">
        <f>IFERROR(Info_Camas[[#This Row],[Lineas]]/Info_Camas[[#This Row],[Cortinas]],"Pendiente")</f>
        <v>0</v>
      </c>
    </row>
    <row r="703" spans="1:10" x14ac:dyDescent="0.25">
      <c r="A703" t="str">
        <f>+_xlfn.CONCAT(Info_Camas[[#This Row],[Bloque]],Info_Camas[[#This Row],[Lado]],Info_Camas[[#This Row],[Cama]])</f>
        <v>04B067</v>
      </c>
      <c r="B703" t="s">
        <v>739</v>
      </c>
      <c r="C703" t="s">
        <v>30</v>
      </c>
      <c r="D703" t="s">
        <v>21</v>
      </c>
      <c r="E703" t="s">
        <v>77</v>
      </c>
      <c r="F703" t="s">
        <v>198</v>
      </c>
      <c r="G703">
        <v>54.933</v>
      </c>
      <c r="H703" s="9">
        <v>9</v>
      </c>
      <c r="J703" s="6">
        <f>IFERROR(Info_Camas[[#This Row],[Lineas]]/Info_Camas[[#This Row],[Cortinas]],"Pendiente")</f>
        <v>0</v>
      </c>
    </row>
    <row r="704" spans="1:10" x14ac:dyDescent="0.25">
      <c r="A704" t="str">
        <f>+_xlfn.CONCAT(Info_Camas[[#This Row],[Bloque]],Info_Camas[[#This Row],[Lado]],Info_Camas[[#This Row],[Cama]])</f>
        <v>04A068</v>
      </c>
      <c r="B704" t="s">
        <v>739</v>
      </c>
      <c r="C704" t="s">
        <v>30</v>
      </c>
      <c r="D704" t="s">
        <v>15</v>
      </c>
      <c r="E704" t="s">
        <v>77</v>
      </c>
      <c r="F704" t="s">
        <v>200</v>
      </c>
      <c r="G704">
        <v>54.933</v>
      </c>
      <c r="H704" s="9">
        <v>9</v>
      </c>
      <c r="J704" s="6">
        <f>IFERROR(Info_Camas[[#This Row],[Lineas]]/Info_Camas[[#This Row],[Cortinas]],"Pendiente")</f>
        <v>0</v>
      </c>
    </row>
    <row r="705" spans="1:10" x14ac:dyDescent="0.25">
      <c r="A705" t="str">
        <f>+_xlfn.CONCAT(Info_Camas[[#This Row],[Bloque]],Info_Camas[[#This Row],[Lado]],Info_Camas[[#This Row],[Cama]])</f>
        <v>04B068</v>
      </c>
      <c r="B705" t="s">
        <v>739</v>
      </c>
      <c r="C705" t="s">
        <v>30</v>
      </c>
      <c r="D705" t="s">
        <v>21</v>
      </c>
      <c r="E705" t="s">
        <v>77</v>
      </c>
      <c r="F705" t="s">
        <v>200</v>
      </c>
      <c r="G705">
        <v>54.933</v>
      </c>
      <c r="H705" s="9">
        <v>9</v>
      </c>
      <c r="J705" s="6">
        <f>IFERROR(Info_Camas[[#This Row],[Lineas]]/Info_Camas[[#This Row],[Cortinas]],"Pendiente")</f>
        <v>0</v>
      </c>
    </row>
    <row r="706" spans="1:10" x14ac:dyDescent="0.25">
      <c r="A706" t="str">
        <f>+_xlfn.CONCAT(Info_Camas[[#This Row],[Bloque]],Info_Camas[[#This Row],[Lado]],Info_Camas[[#This Row],[Cama]])</f>
        <v>04A069</v>
      </c>
      <c r="B706" t="s">
        <v>739</v>
      </c>
      <c r="C706" t="s">
        <v>30</v>
      </c>
      <c r="D706" t="s">
        <v>15</v>
      </c>
      <c r="E706" t="s">
        <v>80</v>
      </c>
      <c r="F706" t="s">
        <v>202</v>
      </c>
      <c r="G706">
        <v>41.524099999999997</v>
      </c>
      <c r="H706" s="9">
        <v>9</v>
      </c>
      <c r="J706" s="6">
        <f>IFERROR(Info_Camas[[#This Row],[Lineas]]/Info_Camas[[#This Row],[Cortinas]],"Pendiente")</f>
        <v>0</v>
      </c>
    </row>
    <row r="707" spans="1:10" x14ac:dyDescent="0.25">
      <c r="A707" t="str">
        <f>+_xlfn.CONCAT(Info_Camas[[#This Row],[Bloque]],Info_Camas[[#This Row],[Lado]],Info_Camas[[#This Row],[Cama]])</f>
        <v>04B069</v>
      </c>
      <c r="B707" t="s">
        <v>739</v>
      </c>
      <c r="C707" t="s">
        <v>30</v>
      </c>
      <c r="D707" t="s">
        <v>21</v>
      </c>
      <c r="E707" t="s">
        <v>80</v>
      </c>
      <c r="F707" t="s">
        <v>202</v>
      </c>
      <c r="G707">
        <v>54.933</v>
      </c>
      <c r="H707" s="9">
        <v>9</v>
      </c>
      <c r="J707" s="6">
        <f>IFERROR(Info_Camas[[#This Row],[Lineas]]/Info_Camas[[#This Row],[Cortinas]],"Pendiente")</f>
        <v>0</v>
      </c>
    </row>
    <row r="708" spans="1:10" x14ac:dyDescent="0.25">
      <c r="A708" t="str">
        <f>+_xlfn.CONCAT(Info_Camas[[#This Row],[Bloque]],Info_Camas[[#This Row],[Lado]],Info_Camas[[#This Row],[Cama]])</f>
        <v>04A070</v>
      </c>
      <c r="B708" t="s">
        <v>739</v>
      </c>
      <c r="C708" t="s">
        <v>30</v>
      </c>
      <c r="D708" t="s">
        <v>15</v>
      </c>
      <c r="E708" t="s">
        <v>80</v>
      </c>
      <c r="F708" t="s">
        <v>204</v>
      </c>
      <c r="G708">
        <v>27.4665</v>
      </c>
      <c r="H708" s="9">
        <v>9</v>
      </c>
      <c r="J708" s="6">
        <f>IFERROR(Info_Camas[[#This Row],[Lineas]]/Info_Camas[[#This Row],[Cortinas]],"Pendiente")</f>
        <v>0</v>
      </c>
    </row>
    <row r="709" spans="1:10" x14ac:dyDescent="0.25">
      <c r="A709" t="str">
        <f>+_xlfn.CONCAT(Info_Camas[[#This Row],[Bloque]],Info_Camas[[#This Row],[Lado]],Info_Camas[[#This Row],[Cama]])</f>
        <v>04B070</v>
      </c>
      <c r="B709" t="s">
        <v>739</v>
      </c>
      <c r="C709" t="s">
        <v>30</v>
      </c>
      <c r="D709" t="s">
        <v>21</v>
      </c>
      <c r="E709" t="s">
        <v>80</v>
      </c>
      <c r="F709" t="s">
        <v>204</v>
      </c>
      <c r="G709">
        <v>54.933</v>
      </c>
      <c r="H709" s="9">
        <v>9</v>
      </c>
      <c r="J709" s="6">
        <f>IFERROR(Info_Camas[[#This Row],[Lineas]]/Info_Camas[[#This Row],[Cortinas]],"Pendiente")</f>
        <v>0</v>
      </c>
    </row>
    <row r="710" spans="1:10" x14ac:dyDescent="0.25">
      <c r="A710" t="str">
        <f>+_xlfn.CONCAT(Info_Camas[[#This Row],[Bloque]],Info_Camas[[#This Row],[Lado]],Info_Camas[[#This Row],[Cama]])</f>
        <v>04A071</v>
      </c>
      <c r="B710" t="s">
        <v>739</v>
      </c>
      <c r="C710" t="s">
        <v>30</v>
      </c>
      <c r="D710" t="s">
        <v>15</v>
      </c>
      <c r="E710" t="s">
        <v>80</v>
      </c>
      <c r="F710" t="s">
        <v>206</v>
      </c>
      <c r="G710">
        <v>54.933</v>
      </c>
      <c r="H710" s="9">
        <v>9</v>
      </c>
      <c r="J710" s="6">
        <f>IFERROR(Info_Camas[[#This Row],[Lineas]]/Info_Camas[[#This Row],[Cortinas]],"Pendiente")</f>
        <v>0</v>
      </c>
    </row>
    <row r="711" spans="1:10" x14ac:dyDescent="0.25">
      <c r="A711" t="str">
        <f>+_xlfn.CONCAT(Info_Camas[[#This Row],[Bloque]],Info_Camas[[#This Row],[Lado]],Info_Camas[[#This Row],[Cama]])</f>
        <v>04B071</v>
      </c>
      <c r="B711" t="s">
        <v>739</v>
      </c>
      <c r="C711" t="s">
        <v>30</v>
      </c>
      <c r="D711" t="s">
        <v>21</v>
      </c>
      <c r="E711" t="s">
        <v>80</v>
      </c>
      <c r="F711" t="s">
        <v>206</v>
      </c>
      <c r="G711">
        <v>49.437399999999997</v>
      </c>
      <c r="H711" s="9">
        <v>9</v>
      </c>
      <c r="J711" s="6">
        <f>IFERROR(Info_Camas[[#This Row],[Lineas]]/Info_Camas[[#This Row],[Cortinas]],"Pendiente")</f>
        <v>0</v>
      </c>
    </row>
    <row r="712" spans="1:10" x14ac:dyDescent="0.25">
      <c r="A712" t="str">
        <f>+_xlfn.CONCAT(Info_Camas[[#This Row],[Bloque]],Info_Camas[[#This Row],[Lado]],Info_Camas[[#This Row],[Cama]])</f>
        <v>04A072</v>
      </c>
      <c r="B712" t="s">
        <v>739</v>
      </c>
      <c r="C712" t="s">
        <v>30</v>
      </c>
      <c r="D712" t="s">
        <v>15</v>
      </c>
      <c r="E712" t="s">
        <v>80</v>
      </c>
      <c r="F712" t="s">
        <v>208</v>
      </c>
      <c r="G712">
        <v>54.933</v>
      </c>
      <c r="H712" s="9">
        <v>9</v>
      </c>
      <c r="J712" s="6">
        <f>IFERROR(Info_Camas[[#This Row],[Lineas]]/Info_Camas[[#This Row],[Cortinas]],"Pendiente")</f>
        <v>0</v>
      </c>
    </row>
    <row r="713" spans="1:10" x14ac:dyDescent="0.25">
      <c r="A713" t="str">
        <f>+_xlfn.CONCAT(Info_Camas[[#This Row],[Bloque]],Info_Camas[[#This Row],[Lado]],Info_Camas[[#This Row],[Cama]])</f>
        <v>04B072</v>
      </c>
      <c r="B713" t="s">
        <v>739</v>
      </c>
      <c r="C713" t="s">
        <v>30</v>
      </c>
      <c r="D713" t="s">
        <v>21</v>
      </c>
      <c r="E713" t="s">
        <v>80</v>
      </c>
      <c r="F713" t="s">
        <v>208</v>
      </c>
      <c r="G713">
        <v>54.933</v>
      </c>
      <c r="H713" s="9">
        <v>9</v>
      </c>
      <c r="J713" s="6">
        <f>IFERROR(Info_Camas[[#This Row],[Lineas]]/Info_Camas[[#This Row],[Cortinas]],"Pendiente")</f>
        <v>0</v>
      </c>
    </row>
    <row r="714" spans="1:10" x14ac:dyDescent="0.25">
      <c r="A714" t="str">
        <f>+_xlfn.CONCAT(Info_Camas[[#This Row],[Bloque]],Info_Camas[[#This Row],[Lado]],Info_Camas[[#This Row],[Cama]])</f>
        <v>04A073</v>
      </c>
      <c r="B714" t="s">
        <v>739</v>
      </c>
      <c r="C714" t="s">
        <v>30</v>
      </c>
      <c r="D714" t="s">
        <v>15</v>
      </c>
      <c r="E714" t="s">
        <v>83</v>
      </c>
      <c r="F714" t="s">
        <v>210</v>
      </c>
      <c r="G714">
        <v>54.933</v>
      </c>
      <c r="H714" s="9">
        <v>9</v>
      </c>
      <c r="J714" s="6">
        <f>IFERROR(Info_Camas[[#This Row],[Lineas]]/Info_Camas[[#This Row],[Cortinas]],"Pendiente")</f>
        <v>0</v>
      </c>
    </row>
    <row r="715" spans="1:10" x14ac:dyDescent="0.25">
      <c r="A715" t="str">
        <f>+_xlfn.CONCAT(Info_Camas[[#This Row],[Bloque]],Info_Camas[[#This Row],[Lado]],Info_Camas[[#This Row],[Cama]])</f>
        <v>04B073</v>
      </c>
      <c r="B715" t="s">
        <v>739</v>
      </c>
      <c r="C715" t="s">
        <v>30</v>
      </c>
      <c r="D715" t="s">
        <v>21</v>
      </c>
      <c r="E715" t="s">
        <v>83</v>
      </c>
      <c r="F715" t="s">
        <v>210</v>
      </c>
      <c r="G715">
        <v>54.933</v>
      </c>
      <c r="H715" s="9">
        <v>9</v>
      </c>
      <c r="J715" s="6">
        <f>IFERROR(Info_Camas[[#This Row],[Lineas]]/Info_Camas[[#This Row],[Cortinas]],"Pendiente")</f>
        <v>0</v>
      </c>
    </row>
    <row r="716" spans="1:10" x14ac:dyDescent="0.25">
      <c r="A716" t="str">
        <f>+_xlfn.CONCAT(Info_Camas[[#This Row],[Bloque]],Info_Camas[[#This Row],[Lado]],Info_Camas[[#This Row],[Cama]])</f>
        <v>04A074</v>
      </c>
      <c r="B716" t="s">
        <v>739</v>
      </c>
      <c r="C716" t="s">
        <v>30</v>
      </c>
      <c r="D716" t="s">
        <v>15</v>
      </c>
      <c r="E716" t="s">
        <v>83</v>
      </c>
      <c r="F716" t="s">
        <v>212</v>
      </c>
      <c r="G716">
        <v>54.933</v>
      </c>
      <c r="H716" s="9">
        <v>9</v>
      </c>
      <c r="J716" s="6">
        <f>IFERROR(Info_Camas[[#This Row],[Lineas]]/Info_Camas[[#This Row],[Cortinas]],"Pendiente")</f>
        <v>0</v>
      </c>
    </row>
    <row r="717" spans="1:10" x14ac:dyDescent="0.25">
      <c r="A717" t="str">
        <f>+_xlfn.CONCAT(Info_Camas[[#This Row],[Bloque]],Info_Camas[[#This Row],[Lado]],Info_Camas[[#This Row],[Cama]])</f>
        <v>04B074</v>
      </c>
      <c r="B717" t="s">
        <v>739</v>
      </c>
      <c r="C717" t="s">
        <v>30</v>
      </c>
      <c r="D717" t="s">
        <v>21</v>
      </c>
      <c r="E717" t="s">
        <v>83</v>
      </c>
      <c r="F717" t="s">
        <v>212</v>
      </c>
      <c r="G717">
        <v>54.933</v>
      </c>
      <c r="H717" s="9">
        <v>9</v>
      </c>
      <c r="J717" s="6">
        <f>IFERROR(Info_Camas[[#This Row],[Lineas]]/Info_Camas[[#This Row],[Cortinas]],"Pendiente")</f>
        <v>0</v>
      </c>
    </row>
    <row r="718" spans="1:10" x14ac:dyDescent="0.25">
      <c r="A718" t="str">
        <f>+_xlfn.CONCAT(Info_Camas[[#This Row],[Bloque]],Info_Camas[[#This Row],[Lado]],Info_Camas[[#This Row],[Cama]])</f>
        <v>04A075</v>
      </c>
      <c r="B718" t="s">
        <v>739</v>
      </c>
      <c r="C718" t="s">
        <v>30</v>
      </c>
      <c r="D718" t="s">
        <v>15</v>
      </c>
      <c r="E718" t="s">
        <v>83</v>
      </c>
      <c r="F718" t="s">
        <v>214</v>
      </c>
      <c r="G718">
        <v>54.933</v>
      </c>
      <c r="H718" s="9">
        <v>9</v>
      </c>
      <c r="J718" s="6">
        <f>IFERROR(Info_Camas[[#This Row],[Lineas]]/Info_Camas[[#This Row],[Cortinas]],"Pendiente")</f>
        <v>0</v>
      </c>
    </row>
    <row r="719" spans="1:10" x14ac:dyDescent="0.25">
      <c r="A719" t="str">
        <f>+_xlfn.CONCAT(Info_Camas[[#This Row],[Bloque]],Info_Camas[[#This Row],[Lado]],Info_Camas[[#This Row],[Cama]])</f>
        <v>04B075</v>
      </c>
      <c r="B719" t="s">
        <v>739</v>
      </c>
      <c r="C719" t="s">
        <v>30</v>
      </c>
      <c r="D719" t="s">
        <v>21</v>
      </c>
      <c r="E719" t="s">
        <v>83</v>
      </c>
      <c r="F719" t="s">
        <v>214</v>
      </c>
      <c r="G719">
        <v>54.933</v>
      </c>
      <c r="H719" s="9">
        <v>9</v>
      </c>
      <c r="J719" s="6">
        <f>IFERROR(Info_Camas[[#This Row],[Lineas]]/Info_Camas[[#This Row],[Cortinas]],"Pendiente")</f>
        <v>0</v>
      </c>
    </row>
    <row r="720" spans="1:10" x14ac:dyDescent="0.25">
      <c r="A720" t="str">
        <f>+_xlfn.CONCAT(Info_Camas[[#This Row],[Bloque]],Info_Camas[[#This Row],[Lado]],Info_Camas[[#This Row],[Cama]])</f>
        <v>04A076</v>
      </c>
      <c r="B720" t="s">
        <v>739</v>
      </c>
      <c r="C720" t="s">
        <v>30</v>
      </c>
      <c r="D720" t="s">
        <v>15</v>
      </c>
      <c r="E720" t="s">
        <v>83</v>
      </c>
      <c r="F720" t="s">
        <v>216</v>
      </c>
      <c r="G720">
        <v>54.933</v>
      </c>
      <c r="H720" s="9">
        <v>9</v>
      </c>
      <c r="J720" s="6">
        <f>IFERROR(Info_Camas[[#This Row],[Lineas]]/Info_Camas[[#This Row],[Cortinas]],"Pendiente")</f>
        <v>0</v>
      </c>
    </row>
    <row r="721" spans="1:10" x14ac:dyDescent="0.25">
      <c r="A721" t="str">
        <f>+_xlfn.CONCAT(Info_Camas[[#This Row],[Bloque]],Info_Camas[[#This Row],[Lado]],Info_Camas[[#This Row],[Cama]])</f>
        <v>04B076</v>
      </c>
      <c r="B721" t="s">
        <v>739</v>
      </c>
      <c r="C721" t="s">
        <v>30</v>
      </c>
      <c r="D721" t="s">
        <v>21</v>
      </c>
      <c r="E721" t="s">
        <v>83</v>
      </c>
      <c r="F721" t="s">
        <v>216</v>
      </c>
      <c r="G721">
        <v>54.933</v>
      </c>
      <c r="H721" s="9">
        <v>9</v>
      </c>
      <c r="J721" s="6">
        <f>IFERROR(Info_Camas[[#This Row],[Lineas]]/Info_Camas[[#This Row],[Cortinas]],"Pendiente")</f>
        <v>0</v>
      </c>
    </row>
    <row r="722" spans="1:10" x14ac:dyDescent="0.25">
      <c r="A722" t="str">
        <f>+_xlfn.CONCAT(Info_Camas[[#This Row],[Bloque]],Info_Camas[[#This Row],[Lado]],Info_Camas[[#This Row],[Cama]])</f>
        <v>04A077</v>
      </c>
      <c r="B722" t="s">
        <v>739</v>
      </c>
      <c r="C722" t="s">
        <v>30</v>
      </c>
      <c r="D722" t="s">
        <v>15</v>
      </c>
      <c r="E722" t="s">
        <v>86</v>
      </c>
      <c r="F722" t="s">
        <v>218</v>
      </c>
      <c r="G722">
        <v>54.933</v>
      </c>
      <c r="H722" s="9">
        <v>9</v>
      </c>
      <c r="J722" s="6">
        <f>IFERROR(Info_Camas[[#This Row],[Lineas]]/Info_Camas[[#This Row],[Cortinas]],"Pendiente")</f>
        <v>0</v>
      </c>
    </row>
    <row r="723" spans="1:10" x14ac:dyDescent="0.25">
      <c r="A723" t="str">
        <f>+_xlfn.CONCAT(Info_Camas[[#This Row],[Bloque]],Info_Camas[[#This Row],[Lado]],Info_Camas[[#This Row],[Cama]])</f>
        <v>04B077</v>
      </c>
      <c r="B723" t="s">
        <v>739</v>
      </c>
      <c r="C723" t="s">
        <v>30</v>
      </c>
      <c r="D723" t="s">
        <v>21</v>
      </c>
      <c r="E723" t="s">
        <v>86</v>
      </c>
      <c r="F723" t="s">
        <v>218</v>
      </c>
      <c r="G723">
        <v>54.933</v>
      </c>
      <c r="H723" s="9">
        <v>9</v>
      </c>
      <c r="J723" s="6">
        <f>IFERROR(Info_Camas[[#This Row],[Lineas]]/Info_Camas[[#This Row],[Cortinas]],"Pendiente")</f>
        <v>0</v>
      </c>
    </row>
    <row r="724" spans="1:10" x14ac:dyDescent="0.25">
      <c r="A724" t="str">
        <f>+_xlfn.CONCAT(Info_Camas[[#This Row],[Bloque]],Info_Camas[[#This Row],[Lado]],Info_Camas[[#This Row],[Cama]])</f>
        <v>04A078</v>
      </c>
      <c r="B724" t="s">
        <v>739</v>
      </c>
      <c r="C724" t="s">
        <v>30</v>
      </c>
      <c r="D724" t="s">
        <v>15</v>
      </c>
      <c r="E724" t="s">
        <v>86</v>
      </c>
      <c r="F724" t="s">
        <v>220</v>
      </c>
      <c r="G724">
        <v>54.933</v>
      </c>
      <c r="H724" s="9">
        <v>9</v>
      </c>
      <c r="J724" s="6">
        <f>IFERROR(Info_Camas[[#This Row],[Lineas]]/Info_Camas[[#This Row],[Cortinas]],"Pendiente")</f>
        <v>0</v>
      </c>
    </row>
    <row r="725" spans="1:10" x14ac:dyDescent="0.25">
      <c r="A725" t="str">
        <f>+_xlfn.CONCAT(Info_Camas[[#This Row],[Bloque]],Info_Camas[[#This Row],[Lado]],Info_Camas[[#This Row],[Cama]])</f>
        <v>04B078</v>
      </c>
      <c r="B725" t="s">
        <v>739</v>
      </c>
      <c r="C725" t="s">
        <v>30</v>
      </c>
      <c r="D725" t="s">
        <v>21</v>
      </c>
      <c r="E725" t="s">
        <v>86</v>
      </c>
      <c r="F725" t="s">
        <v>220</v>
      </c>
      <c r="G725">
        <v>54.933</v>
      </c>
      <c r="H725" s="9">
        <v>9</v>
      </c>
      <c r="J725" s="6">
        <f>IFERROR(Info_Camas[[#This Row],[Lineas]]/Info_Camas[[#This Row],[Cortinas]],"Pendiente")</f>
        <v>0</v>
      </c>
    </row>
    <row r="726" spans="1:10" x14ac:dyDescent="0.25">
      <c r="A726" t="str">
        <f>+_xlfn.CONCAT(Info_Camas[[#This Row],[Bloque]],Info_Camas[[#This Row],[Lado]],Info_Camas[[#This Row],[Cama]])</f>
        <v>04A079</v>
      </c>
      <c r="B726" t="s">
        <v>739</v>
      </c>
      <c r="C726" t="s">
        <v>30</v>
      </c>
      <c r="D726" t="s">
        <v>15</v>
      </c>
      <c r="E726" t="s">
        <v>86</v>
      </c>
      <c r="F726" t="s">
        <v>222</v>
      </c>
      <c r="G726">
        <v>41.199800000000003</v>
      </c>
      <c r="H726" s="9">
        <v>9</v>
      </c>
      <c r="J726" s="6">
        <f>IFERROR(Info_Camas[[#This Row],[Lineas]]/Info_Camas[[#This Row],[Cortinas]],"Pendiente")</f>
        <v>0</v>
      </c>
    </row>
    <row r="727" spans="1:10" x14ac:dyDescent="0.25">
      <c r="A727" t="str">
        <f>+_xlfn.CONCAT(Info_Camas[[#This Row],[Bloque]],Info_Camas[[#This Row],[Lado]],Info_Camas[[#This Row],[Cama]])</f>
        <v>04B079</v>
      </c>
      <c r="B727" t="s">
        <v>739</v>
      </c>
      <c r="C727" t="s">
        <v>30</v>
      </c>
      <c r="D727" t="s">
        <v>21</v>
      </c>
      <c r="E727" t="s">
        <v>86</v>
      </c>
      <c r="F727" t="s">
        <v>222</v>
      </c>
      <c r="G727">
        <v>54.933</v>
      </c>
      <c r="H727" s="9">
        <v>9</v>
      </c>
      <c r="J727" s="6">
        <f>IFERROR(Info_Camas[[#This Row],[Lineas]]/Info_Camas[[#This Row],[Cortinas]],"Pendiente")</f>
        <v>0</v>
      </c>
    </row>
    <row r="728" spans="1:10" x14ac:dyDescent="0.25">
      <c r="A728" t="str">
        <f>+_xlfn.CONCAT(Info_Camas[[#This Row],[Bloque]],Info_Camas[[#This Row],[Lado]],Info_Camas[[#This Row],[Cama]])</f>
        <v>04A080</v>
      </c>
      <c r="B728" t="s">
        <v>739</v>
      </c>
      <c r="C728" t="s">
        <v>30</v>
      </c>
      <c r="D728" t="s">
        <v>15</v>
      </c>
      <c r="E728" t="s">
        <v>86</v>
      </c>
      <c r="F728" t="s">
        <v>224</v>
      </c>
      <c r="G728">
        <v>54.933</v>
      </c>
      <c r="H728" s="9">
        <v>9</v>
      </c>
      <c r="J728" s="6">
        <f>IFERROR(Info_Camas[[#This Row],[Lineas]]/Info_Camas[[#This Row],[Cortinas]],"Pendiente")</f>
        <v>0</v>
      </c>
    </row>
    <row r="729" spans="1:10" x14ac:dyDescent="0.25">
      <c r="A729" t="str">
        <f>+_xlfn.CONCAT(Info_Camas[[#This Row],[Bloque]],Info_Camas[[#This Row],[Lado]],Info_Camas[[#This Row],[Cama]])</f>
        <v>04B080</v>
      </c>
      <c r="B729" t="s">
        <v>739</v>
      </c>
      <c r="C729" t="s">
        <v>30</v>
      </c>
      <c r="D729" t="s">
        <v>21</v>
      </c>
      <c r="E729" t="s">
        <v>86</v>
      </c>
      <c r="F729" t="s">
        <v>224</v>
      </c>
      <c r="G729">
        <v>54.933</v>
      </c>
      <c r="H729" s="9">
        <v>9</v>
      </c>
      <c r="J729" s="6">
        <f>IFERROR(Info_Camas[[#This Row],[Lineas]]/Info_Camas[[#This Row],[Cortinas]],"Pendiente")</f>
        <v>0</v>
      </c>
    </row>
    <row r="730" spans="1:10" x14ac:dyDescent="0.25">
      <c r="A730" t="str">
        <f>+_xlfn.CONCAT(Info_Camas[[#This Row],[Bloque]],Info_Camas[[#This Row],[Lado]],Info_Camas[[#This Row],[Cama]])</f>
        <v>04A081</v>
      </c>
      <c r="B730" t="s">
        <v>739</v>
      </c>
      <c r="C730" t="s">
        <v>30</v>
      </c>
      <c r="D730" t="s">
        <v>15</v>
      </c>
      <c r="E730" t="s">
        <v>89</v>
      </c>
      <c r="F730" t="s">
        <v>226</v>
      </c>
      <c r="G730">
        <v>54.933</v>
      </c>
      <c r="H730" s="9">
        <v>9</v>
      </c>
      <c r="J730" s="6">
        <f>IFERROR(Info_Camas[[#This Row],[Lineas]]/Info_Camas[[#This Row],[Cortinas]],"Pendiente")</f>
        <v>0</v>
      </c>
    </row>
    <row r="731" spans="1:10" x14ac:dyDescent="0.25">
      <c r="A731" t="str">
        <f>+_xlfn.CONCAT(Info_Camas[[#This Row],[Bloque]],Info_Camas[[#This Row],[Lado]],Info_Camas[[#This Row],[Cama]])</f>
        <v>04B081</v>
      </c>
      <c r="B731" t="s">
        <v>739</v>
      </c>
      <c r="C731" t="s">
        <v>30</v>
      </c>
      <c r="D731" t="s">
        <v>21</v>
      </c>
      <c r="E731" t="s">
        <v>89</v>
      </c>
      <c r="F731" t="s">
        <v>226</v>
      </c>
      <c r="G731">
        <v>42.721899999999998</v>
      </c>
      <c r="H731" s="9">
        <v>9</v>
      </c>
      <c r="J731" s="6">
        <f>IFERROR(Info_Camas[[#This Row],[Lineas]]/Info_Camas[[#This Row],[Cortinas]],"Pendiente")</f>
        <v>0</v>
      </c>
    </row>
    <row r="732" spans="1:10" x14ac:dyDescent="0.25">
      <c r="A732" t="str">
        <f>+_xlfn.CONCAT(Info_Camas[[#This Row],[Bloque]],Info_Camas[[#This Row],[Lado]],Info_Camas[[#This Row],[Cama]])</f>
        <v>04A082</v>
      </c>
      <c r="B732" t="s">
        <v>739</v>
      </c>
      <c r="C732" t="s">
        <v>30</v>
      </c>
      <c r="D732" t="s">
        <v>15</v>
      </c>
      <c r="E732" t="s">
        <v>89</v>
      </c>
      <c r="F732" t="s">
        <v>229</v>
      </c>
      <c r="G732">
        <v>54.933</v>
      </c>
      <c r="H732" s="9">
        <v>9</v>
      </c>
      <c r="J732" s="6">
        <f>IFERROR(Info_Camas[[#This Row],[Lineas]]/Info_Camas[[#This Row],[Cortinas]],"Pendiente")</f>
        <v>0</v>
      </c>
    </row>
    <row r="733" spans="1:10" x14ac:dyDescent="0.25">
      <c r="A733" t="str">
        <f>+_xlfn.CONCAT(Info_Camas[[#This Row],[Bloque]],Info_Camas[[#This Row],[Lado]],Info_Camas[[#This Row],[Cama]])</f>
        <v>04B082</v>
      </c>
      <c r="B733" t="s">
        <v>739</v>
      </c>
      <c r="C733" t="s">
        <v>30</v>
      </c>
      <c r="D733" t="s">
        <v>21</v>
      </c>
      <c r="E733" t="s">
        <v>89</v>
      </c>
      <c r="F733" t="s">
        <v>229</v>
      </c>
      <c r="G733">
        <v>54.933</v>
      </c>
      <c r="H733" s="9">
        <v>9</v>
      </c>
      <c r="J733" s="6">
        <f>IFERROR(Info_Camas[[#This Row],[Lineas]]/Info_Camas[[#This Row],[Cortinas]],"Pendiente")</f>
        <v>0</v>
      </c>
    </row>
    <row r="734" spans="1:10" x14ac:dyDescent="0.25">
      <c r="A734" t="str">
        <f>+_xlfn.CONCAT(Info_Camas[[#This Row],[Bloque]],Info_Camas[[#This Row],[Lado]],Info_Camas[[#This Row],[Cama]])</f>
        <v>04A083</v>
      </c>
      <c r="B734" t="s">
        <v>739</v>
      </c>
      <c r="C734" t="s">
        <v>30</v>
      </c>
      <c r="D734" t="s">
        <v>15</v>
      </c>
      <c r="E734" t="s">
        <v>89</v>
      </c>
      <c r="F734" t="s">
        <v>231</v>
      </c>
      <c r="G734">
        <v>54.933</v>
      </c>
      <c r="H734" s="9">
        <v>9</v>
      </c>
      <c r="J734" s="6">
        <f>IFERROR(Info_Camas[[#This Row],[Lineas]]/Info_Camas[[#This Row],[Cortinas]],"Pendiente")</f>
        <v>0</v>
      </c>
    </row>
    <row r="735" spans="1:10" x14ac:dyDescent="0.25">
      <c r="A735" t="str">
        <f>+_xlfn.CONCAT(Info_Camas[[#This Row],[Bloque]],Info_Camas[[#This Row],[Lado]],Info_Camas[[#This Row],[Cama]])</f>
        <v>04B083</v>
      </c>
      <c r="B735" t="s">
        <v>739</v>
      </c>
      <c r="C735" t="s">
        <v>30</v>
      </c>
      <c r="D735" t="s">
        <v>21</v>
      </c>
      <c r="E735" t="s">
        <v>89</v>
      </c>
      <c r="F735" t="s">
        <v>231</v>
      </c>
      <c r="G735">
        <v>54.933</v>
      </c>
      <c r="H735" s="9">
        <v>9</v>
      </c>
      <c r="J735" s="6">
        <f>IFERROR(Info_Camas[[#This Row],[Lineas]]/Info_Camas[[#This Row],[Cortinas]],"Pendiente")</f>
        <v>0</v>
      </c>
    </row>
    <row r="736" spans="1:10" x14ac:dyDescent="0.25">
      <c r="A736" t="str">
        <f>+_xlfn.CONCAT(Info_Camas[[#This Row],[Bloque]],Info_Camas[[#This Row],[Lado]],Info_Camas[[#This Row],[Cama]])</f>
        <v>04A084</v>
      </c>
      <c r="B736" t="s">
        <v>739</v>
      </c>
      <c r="C736" t="s">
        <v>30</v>
      </c>
      <c r="D736" t="s">
        <v>15</v>
      </c>
      <c r="E736" t="s">
        <v>89</v>
      </c>
      <c r="F736" t="s">
        <v>233</v>
      </c>
      <c r="G736">
        <v>12.211399999999999</v>
      </c>
      <c r="H736" s="9">
        <v>9</v>
      </c>
      <c r="J736" s="6">
        <f>IFERROR(Info_Camas[[#This Row],[Lineas]]/Info_Camas[[#This Row],[Cortinas]],"Pendiente")</f>
        <v>0</v>
      </c>
    </row>
    <row r="737" spans="1:10" x14ac:dyDescent="0.25">
      <c r="A737" t="str">
        <f>+_xlfn.CONCAT(Info_Camas[[#This Row],[Bloque]],Info_Camas[[#This Row],[Lado]],Info_Camas[[#This Row],[Cama]])</f>
        <v>04B084</v>
      </c>
      <c r="B737" t="s">
        <v>739</v>
      </c>
      <c r="C737" t="s">
        <v>30</v>
      </c>
      <c r="D737" t="s">
        <v>21</v>
      </c>
      <c r="E737" t="s">
        <v>89</v>
      </c>
      <c r="F737" t="s">
        <v>233</v>
      </c>
      <c r="G737">
        <v>54.933</v>
      </c>
      <c r="H737" s="9">
        <v>9</v>
      </c>
      <c r="J737" s="6">
        <f>IFERROR(Info_Camas[[#This Row],[Lineas]]/Info_Camas[[#This Row],[Cortinas]],"Pendiente")</f>
        <v>0</v>
      </c>
    </row>
    <row r="738" spans="1:10" x14ac:dyDescent="0.25">
      <c r="A738" t="str">
        <f>+_xlfn.CONCAT(Info_Camas[[#This Row],[Bloque]],Info_Camas[[#This Row],[Lado]],Info_Camas[[#This Row],[Cama]])</f>
        <v>04A085</v>
      </c>
      <c r="B738" t="s">
        <v>739</v>
      </c>
      <c r="C738" t="s">
        <v>30</v>
      </c>
      <c r="D738" t="s">
        <v>15</v>
      </c>
      <c r="E738" t="s">
        <v>93</v>
      </c>
      <c r="F738" t="s">
        <v>235</v>
      </c>
      <c r="G738">
        <v>54.933</v>
      </c>
      <c r="H738" s="9">
        <v>9</v>
      </c>
      <c r="J738" s="6">
        <f>IFERROR(Info_Camas[[#This Row],[Lineas]]/Info_Camas[[#This Row],[Cortinas]],"Pendiente")</f>
        <v>0</v>
      </c>
    </row>
    <row r="739" spans="1:10" x14ac:dyDescent="0.25">
      <c r="A739" t="str">
        <f>+_xlfn.CONCAT(Info_Camas[[#This Row],[Bloque]],Info_Camas[[#This Row],[Lado]],Info_Camas[[#This Row],[Cama]])</f>
        <v>04B085</v>
      </c>
      <c r="B739" t="s">
        <v>739</v>
      </c>
      <c r="C739" t="s">
        <v>30</v>
      </c>
      <c r="D739" t="s">
        <v>21</v>
      </c>
      <c r="E739" t="s">
        <v>93</v>
      </c>
      <c r="F739" t="s">
        <v>235</v>
      </c>
      <c r="G739">
        <v>8.24</v>
      </c>
      <c r="H739" s="9">
        <v>9</v>
      </c>
      <c r="J739" s="6">
        <f>IFERROR(Info_Camas[[#This Row],[Lineas]]/Info_Camas[[#This Row],[Cortinas]],"Pendiente")</f>
        <v>0</v>
      </c>
    </row>
    <row r="740" spans="1:10" x14ac:dyDescent="0.25">
      <c r="A740" t="str">
        <f>+_xlfn.CONCAT(Info_Camas[[#This Row],[Bloque]],Info_Camas[[#This Row],[Lado]],Info_Camas[[#This Row],[Cama]])</f>
        <v>04A086</v>
      </c>
      <c r="B740" t="s">
        <v>739</v>
      </c>
      <c r="C740" t="s">
        <v>30</v>
      </c>
      <c r="D740" t="s">
        <v>15</v>
      </c>
      <c r="E740" t="s">
        <v>93</v>
      </c>
      <c r="F740" t="s">
        <v>238</v>
      </c>
      <c r="G740">
        <v>3.0476999999999999</v>
      </c>
      <c r="H740" s="9">
        <v>9</v>
      </c>
      <c r="J740" s="6">
        <f>IFERROR(Info_Camas[[#This Row],[Lineas]]/Info_Camas[[#This Row],[Cortinas]],"Pendiente")</f>
        <v>0</v>
      </c>
    </row>
    <row r="741" spans="1:10" x14ac:dyDescent="0.25">
      <c r="A741" t="str">
        <f>+_xlfn.CONCAT(Info_Camas[[#This Row],[Bloque]],Info_Camas[[#This Row],[Lado]],Info_Camas[[#This Row],[Cama]])</f>
        <v>04B086</v>
      </c>
      <c r="B741" t="s">
        <v>739</v>
      </c>
      <c r="C741" t="s">
        <v>30</v>
      </c>
      <c r="D741" t="s">
        <v>21</v>
      </c>
      <c r="E741" t="s">
        <v>93</v>
      </c>
      <c r="F741" t="s">
        <v>238</v>
      </c>
      <c r="G741">
        <v>54.933</v>
      </c>
      <c r="H741" s="9">
        <v>9</v>
      </c>
      <c r="J741" s="6">
        <f>IFERROR(Info_Camas[[#This Row],[Lineas]]/Info_Camas[[#This Row],[Cortinas]],"Pendiente")</f>
        <v>0</v>
      </c>
    </row>
    <row r="742" spans="1:10" x14ac:dyDescent="0.25">
      <c r="A742" t="str">
        <f>+_xlfn.CONCAT(Info_Camas[[#This Row],[Bloque]],Info_Camas[[#This Row],[Lado]],Info_Camas[[#This Row],[Cama]])</f>
        <v>04A087</v>
      </c>
      <c r="B742" t="s">
        <v>739</v>
      </c>
      <c r="C742" t="s">
        <v>30</v>
      </c>
      <c r="D742" t="s">
        <v>15</v>
      </c>
      <c r="E742" t="s">
        <v>93</v>
      </c>
      <c r="F742" t="s">
        <v>240</v>
      </c>
      <c r="G742">
        <v>54.933</v>
      </c>
      <c r="H742" s="9">
        <v>9</v>
      </c>
      <c r="J742" s="6">
        <f>IFERROR(Info_Camas[[#This Row],[Lineas]]/Info_Camas[[#This Row],[Cortinas]],"Pendiente")</f>
        <v>0</v>
      </c>
    </row>
    <row r="743" spans="1:10" x14ac:dyDescent="0.25">
      <c r="A743" t="str">
        <f>+_xlfn.CONCAT(Info_Camas[[#This Row],[Bloque]],Info_Camas[[#This Row],[Lado]],Info_Camas[[#This Row],[Cama]])</f>
        <v>04B087</v>
      </c>
      <c r="B743" t="s">
        <v>739</v>
      </c>
      <c r="C743" t="s">
        <v>30</v>
      </c>
      <c r="D743" t="s">
        <v>21</v>
      </c>
      <c r="E743" t="s">
        <v>93</v>
      </c>
      <c r="F743" t="s">
        <v>240</v>
      </c>
      <c r="G743">
        <v>54.933</v>
      </c>
      <c r="H743" s="9">
        <v>9</v>
      </c>
      <c r="J743" s="6">
        <f>IFERROR(Info_Camas[[#This Row],[Lineas]]/Info_Camas[[#This Row],[Cortinas]],"Pendiente")</f>
        <v>0</v>
      </c>
    </row>
    <row r="744" spans="1:10" x14ac:dyDescent="0.25">
      <c r="A744" t="str">
        <f>+_xlfn.CONCAT(Info_Camas[[#This Row],[Bloque]],Info_Camas[[#This Row],[Lado]],Info_Camas[[#This Row],[Cama]])</f>
        <v>04A088</v>
      </c>
      <c r="B744" t="s">
        <v>739</v>
      </c>
      <c r="C744" t="s">
        <v>30</v>
      </c>
      <c r="D744" t="s">
        <v>15</v>
      </c>
      <c r="E744" t="s">
        <v>93</v>
      </c>
      <c r="F744" t="s">
        <v>242</v>
      </c>
      <c r="G744">
        <v>54.933</v>
      </c>
      <c r="H744" s="9">
        <v>9</v>
      </c>
      <c r="J744" s="6">
        <f>IFERROR(Info_Camas[[#This Row],[Lineas]]/Info_Camas[[#This Row],[Cortinas]],"Pendiente")</f>
        <v>0</v>
      </c>
    </row>
    <row r="745" spans="1:10" x14ac:dyDescent="0.25">
      <c r="A745" t="str">
        <f>+_xlfn.CONCAT(Info_Camas[[#This Row],[Bloque]],Info_Camas[[#This Row],[Lado]],Info_Camas[[#This Row],[Cama]])</f>
        <v>04B088</v>
      </c>
      <c r="B745" t="s">
        <v>739</v>
      </c>
      <c r="C745" t="s">
        <v>30</v>
      </c>
      <c r="D745" t="s">
        <v>21</v>
      </c>
      <c r="E745" t="s">
        <v>93</v>
      </c>
      <c r="F745" t="s">
        <v>242</v>
      </c>
      <c r="G745">
        <v>54.933</v>
      </c>
      <c r="H745" s="9">
        <v>9</v>
      </c>
      <c r="J745" s="6">
        <f>IFERROR(Info_Camas[[#This Row],[Lineas]]/Info_Camas[[#This Row],[Cortinas]],"Pendiente")</f>
        <v>0</v>
      </c>
    </row>
    <row r="746" spans="1:10" x14ac:dyDescent="0.25">
      <c r="A746" t="str">
        <f>+_xlfn.CONCAT(Info_Camas[[#This Row],[Bloque]],Info_Camas[[#This Row],[Lado]],Info_Camas[[#This Row],[Cama]])</f>
        <v>04A089</v>
      </c>
      <c r="B746" t="s">
        <v>739</v>
      </c>
      <c r="C746" t="s">
        <v>30</v>
      </c>
      <c r="D746" t="s">
        <v>15</v>
      </c>
      <c r="E746" t="s">
        <v>96</v>
      </c>
      <c r="F746" t="s">
        <v>244</v>
      </c>
      <c r="G746">
        <v>54.933</v>
      </c>
      <c r="H746" s="9">
        <v>9</v>
      </c>
      <c r="J746" s="6">
        <f>IFERROR(Info_Camas[[#This Row],[Lineas]]/Info_Camas[[#This Row],[Cortinas]],"Pendiente")</f>
        <v>0</v>
      </c>
    </row>
    <row r="747" spans="1:10" x14ac:dyDescent="0.25">
      <c r="A747" t="str">
        <f>+_xlfn.CONCAT(Info_Camas[[#This Row],[Bloque]],Info_Camas[[#This Row],[Lado]],Info_Camas[[#This Row],[Cama]])</f>
        <v>04B089</v>
      </c>
      <c r="B747" t="s">
        <v>739</v>
      </c>
      <c r="C747" t="s">
        <v>30</v>
      </c>
      <c r="D747" t="s">
        <v>21</v>
      </c>
      <c r="E747" t="s">
        <v>96</v>
      </c>
      <c r="F747" t="s">
        <v>244</v>
      </c>
      <c r="G747">
        <v>54.933</v>
      </c>
      <c r="H747" s="9">
        <v>9</v>
      </c>
      <c r="J747" s="6">
        <f>IFERROR(Info_Camas[[#This Row],[Lineas]]/Info_Camas[[#This Row],[Cortinas]],"Pendiente")</f>
        <v>0</v>
      </c>
    </row>
    <row r="748" spans="1:10" x14ac:dyDescent="0.25">
      <c r="A748" t="str">
        <f>+_xlfn.CONCAT(Info_Camas[[#This Row],[Bloque]],Info_Camas[[#This Row],[Lado]],Info_Camas[[#This Row],[Cama]])</f>
        <v>04A090</v>
      </c>
      <c r="B748" t="s">
        <v>739</v>
      </c>
      <c r="C748" t="s">
        <v>30</v>
      </c>
      <c r="D748" t="s">
        <v>15</v>
      </c>
      <c r="E748" t="s">
        <v>96</v>
      </c>
      <c r="F748" t="s">
        <v>246</v>
      </c>
      <c r="G748">
        <v>54.933</v>
      </c>
      <c r="H748" s="9">
        <v>9</v>
      </c>
      <c r="J748" s="6">
        <f>IFERROR(Info_Camas[[#This Row],[Lineas]]/Info_Camas[[#This Row],[Cortinas]],"Pendiente")</f>
        <v>0</v>
      </c>
    </row>
    <row r="749" spans="1:10" x14ac:dyDescent="0.25">
      <c r="A749" t="str">
        <f>+_xlfn.CONCAT(Info_Camas[[#This Row],[Bloque]],Info_Camas[[#This Row],[Lado]],Info_Camas[[#This Row],[Cama]])</f>
        <v>04B090</v>
      </c>
      <c r="B749" t="s">
        <v>739</v>
      </c>
      <c r="C749" t="s">
        <v>30</v>
      </c>
      <c r="D749" t="s">
        <v>21</v>
      </c>
      <c r="E749" t="s">
        <v>96</v>
      </c>
      <c r="F749" t="s">
        <v>246</v>
      </c>
      <c r="G749">
        <v>54.933</v>
      </c>
      <c r="H749" s="9">
        <v>9</v>
      </c>
      <c r="J749" s="6">
        <f>IFERROR(Info_Camas[[#This Row],[Lineas]]/Info_Camas[[#This Row],[Cortinas]],"Pendiente")</f>
        <v>0</v>
      </c>
    </row>
    <row r="750" spans="1:10" x14ac:dyDescent="0.25">
      <c r="A750" t="str">
        <f>+_xlfn.CONCAT(Info_Camas[[#This Row],[Bloque]],Info_Camas[[#This Row],[Lado]],Info_Camas[[#This Row],[Cama]])</f>
        <v>04A091</v>
      </c>
      <c r="B750" t="s">
        <v>739</v>
      </c>
      <c r="C750" t="s">
        <v>30</v>
      </c>
      <c r="D750" t="s">
        <v>15</v>
      </c>
      <c r="E750" t="s">
        <v>96</v>
      </c>
      <c r="F750" t="s">
        <v>248</v>
      </c>
      <c r="G750">
        <v>54.933</v>
      </c>
      <c r="H750" s="9">
        <v>9</v>
      </c>
      <c r="J750" s="6">
        <f>IFERROR(Info_Camas[[#This Row],[Lineas]]/Info_Camas[[#This Row],[Cortinas]],"Pendiente")</f>
        <v>0</v>
      </c>
    </row>
    <row r="751" spans="1:10" x14ac:dyDescent="0.25">
      <c r="A751" t="str">
        <f>+_xlfn.CONCAT(Info_Camas[[#This Row],[Bloque]],Info_Camas[[#This Row],[Lado]],Info_Camas[[#This Row],[Cama]])</f>
        <v>04B091</v>
      </c>
      <c r="B751" t="s">
        <v>739</v>
      </c>
      <c r="C751" t="s">
        <v>30</v>
      </c>
      <c r="D751" t="s">
        <v>21</v>
      </c>
      <c r="E751" t="s">
        <v>96</v>
      </c>
      <c r="F751" t="s">
        <v>248</v>
      </c>
      <c r="G751">
        <v>54.933</v>
      </c>
      <c r="H751" s="9">
        <v>9</v>
      </c>
      <c r="J751" s="6">
        <f>IFERROR(Info_Camas[[#This Row],[Lineas]]/Info_Camas[[#This Row],[Cortinas]],"Pendiente")</f>
        <v>0</v>
      </c>
    </row>
    <row r="752" spans="1:10" x14ac:dyDescent="0.25">
      <c r="A752" t="str">
        <f>+_xlfn.CONCAT(Info_Camas[[#This Row],[Bloque]],Info_Camas[[#This Row],[Lado]],Info_Camas[[#This Row],[Cama]])</f>
        <v>04A092</v>
      </c>
      <c r="B752" t="s">
        <v>739</v>
      </c>
      <c r="C752" t="s">
        <v>30</v>
      </c>
      <c r="D752" t="s">
        <v>15</v>
      </c>
      <c r="E752" t="s">
        <v>96</v>
      </c>
      <c r="F752" t="s">
        <v>250</v>
      </c>
      <c r="G752">
        <v>9.5389999999999997</v>
      </c>
      <c r="H752" s="9">
        <v>9</v>
      </c>
      <c r="J752" s="6">
        <f>IFERROR(Info_Camas[[#This Row],[Lineas]]/Info_Camas[[#This Row],[Cortinas]],"Pendiente")</f>
        <v>0</v>
      </c>
    </row>
    <row r="753" spans="1:10" x14ac:dyDescent="0.25">
      <c r="A753" t="str">
        <f>+_xlfn.CONCAT(Info_Camas[[#This Row],[Bloque]],Info_Camas[[#This Row],[Lado]],Info_Camas[[#This Row],[Cama]])</f>
        <v>04B092</v>
      </c>
      <c r="B753" t="s">
        <v>739</v>
      </c>
      <c r="C753" t="s">
        <v>30</v>
      </c>
      <c r="D753" t="s">
        <v>21</v>
      </c>
      <c r="E753" t="s">
        <v>96</v>
      </c>
      <c r="F753" t="s">
        <v>250</v>
      </c>
      <c r="G753">
        <v>54.933</v>
      </c>
      <c r="H753" s="9">
        <v>9</v>
      </c>
      <c r="J753" s="6">
        <f>IFERROR(Info_Camas[[#This Row],[Lineas]]/Info_Camas[[#This Row],[Cortinas]],"Pendiente")</f>
        <v>0</v>
      </c>
    </row>
    <row r="754" spans="1:10" x14ac:dyDescent="0.25">
      <c r="A754" t="str">
        <f>+_xlfn.CONCAT(Info_Camas[[#This Row],[Bloque]],Info_Camas[[#This Row],[Lado]],Info_Camas[[#This Row],[Cama]])</f>
        <v>04A093</v>
      </c>
      <c r="B754" t="s">
        <v>739</v>
      </c>
      <c r="C754" t="s">
        <v>30</v>
      </c>
      <c r="D754" t="s">
        <v>15</v>
      </c>
      <c r="E754" t="s">
        <v>99</v>
      </c>
      <c r="F754" t="s">
        <v>252</v>
      </c>
      <c r="G754">
        <v>54.933</v>
      </c>
      <c r="H754" s="9">
        <v>9</v>
      </c>
      <c r="J754" s="6">
        <f>IFERROR(Info_Camas[[#This Row],[Lineas]]/Info_Camas[[#This Row],[Cortinas]],"Pendiente")</f>
        <v>0</v>
      </c>
    </row>
    <row r="755" spans="1:10" x14ac:dyDescent="0.25">
      <c r="A755" t="str">
        <f>+_xlfn.CONCAT(Info_Camas[[#This Row],[Bloque]],Info_Camas[[#This Row],[Lado]],Info_Camas[[#This Row],[Cama]])</f>
        <v>04B093</v>
      </c>
      <c r="B755" t="s">
        <v>739</v>
      </c>
      <c r="C755" t="s">
        <v>30</v>
      </c>
      <c r="D755" t="s">
        <v>21</v>
      </c>
      <c r="E755" t="s">
        <v>99</v>
      </c>
      <c r="F755" t="s">
        <v>252</v>
      </c>
      <c r="G755">
        <v>54.933</v>
      </c>
      <c r="H755" s="9">
        <v>9</v>
      </c>
      <c r="J755" s="6">
        <f>IFERROR(Info_Camas[[#This Row],[Lineas]]/Info_Camas[[#This Row],[Cortinas]],"Pendiente")</f>
        <v>0</v>
      </c>
    </row>
    <row r="756" spans="1:10" x14ac:dyDescent="0.25">
      <c r="A756" t="str">
        <f>+_xlfn.CONCAT(Info_Camas[[#This Row],[Bloque]],Info_Camas[[#This Row],[Lado]],Info_Camas[[#This Row],[Cama]])</f>
        <v>04A094</v>
      </c>
      <c r="B756" t="s">
        <v>739</v>
      </c>
      <c r="C756" t="s">
        <v>30</v>
      </c>
      <c r="D756" t="s">
        <v>15</v>
      </c>
      <c r="E756" t="s">
        <v>99</v>
      </c>
      <c r="F756" t="s">
        <v>254</v>
      </c>
      <c r="G756">
        <v>54.933</v>
      </c>
      <c r="H756" s="9">
        <v>9</v>
      </c>
      <c r="J756" s="6">
        <f>IFERROR(Info_Camas[[#This Row],[Lineas]]/Info_Camas[[#This Row],[Cortinas]],"Pendiente")</f>
        <v>0</v>
      </c>
    </row>
    <row r="757" spans="1:10" x14ac:dyDescent="0.25">
      <c r="A757" t="str">
        <f>+_xlfn.CONCAT(Info_Camas[[#This Row],[Bloque]],Info_Camas[[#This Row],[Lado]],Info_Camas[[#This Row],[Cama]])</f>
        <v>04B094</v>
      </c>
      <c r="B757" t="s">
        <v>739</v>
      </c>
      <c r="C757" t="s">
        <v>30</v>
      </c>
      <c r="D757" t="s">
        <v>21</v>
      </c>
      <c r="E757" t="s">
        <v>99</v>
      </c>
      <c r="F757" t="s">
        <v>254</v>
      </c>
      <c r="G757">
        <v>15.2592</v>
      </c>
      <c r="H757" s="9">
        <v>9</v>
      </c>
      <c r="J757" s="6">
        <f>IFERROR(Info_Camas[[#This Row],[Lineas]]/Info_Camas[[#This Row],[Cortinas]],"Pendiente")</f>
        <v>0</v>
      </c>
    </row>
    <row r="758" spans="1:10" x14ac:dyDescent="0.25">
      <c r="A758" t="str">
        <f>+_xlfn.CONCAT(Info_Camas[[#This Row],[Bloque]],Info_Camas[[#This Row],[Lado]],Info_Camas[[#This Row],[Cama]])</f>
        <v>04A095</v>
      </c>
      <c r="B758" t="s">
        <v>739</v>
      </c>
      <c r="C758" t="s">
        <v>30</v>
      </c>
      <c r="D758" t="s">
        <v>15</v>
      </c>
      <c r="E758" t="s">
        <v>99</v>
      </c>
      <c r="F758" t="s">
        <v>256</v>
      </c>
      <c r="G758">
        <v>54.933</v>
      </c>
      <c r="H758" s="9">
        <v>9</v>
      </c>
      <c r="J758" s="6">
        <f>IFERROR(Info_Camas[[#This Row],[Lineas]]/Info_Camas[[#This Row],[Cortinas]],"Pendiente")</f>
        <v>0</v>
      </c>
    </row>
    <row r="759" spans="1:10" x14ac:dyDescent="0.25">
      <c r="A759" t="str">
        <f>+_xlfn.CONCAT(Info_Camas[[#This Row],[Bloque]],Info_Camas[[#This Row],[Lado]],Info_Camas[[#This Row],[Cama]])</f>
        <v>04B095</v>
      </c>
      <c r="B759" t="s">
        <v>739</v>
      </c>
      <c r="C759" t="s">
        <v>30</v>
      </c>
      <c r="D759" t="s">
        <v>21</v>
      </c>
      <c r="E759" t="s">
        <v>99</v>
      </c>
      <c r="F759" t="s">
        <v>256</v>
      </c>
      <c r="G759">
        <v>54.933</v>
      </c>
      <c r="H759" s="9">
        <v>9</v>
      </c>
      <c r="J759" s="6">
        <f>IFERROR(Info_Camas[[#This Row],[Lineas]]/Info_Camas[[#This Row],[Cortinas]],"Pendiente")</f>
        <v>0</v>
      </c>
    </row>
    <row r="760" spans="1:10" x14ac:dyDescent="0.25">
      <c r="A760" t="str">
        <f>+_xlfn.CONCAT(Info_Camas[[#This Row],[Bloque]],Info_Camas[[#This Row],[Lado]],Info_Camas[[#This Row],[Cama]])</f>
        <v>04A096</v>
      </c>
      <c r="B760" t="s">
        <v>739</v>
      </c>
      <c r="C760" t="s">
        <v>30</v>
      </c>
      <c r="D760" t="s">
        <v>15</v>
      </c>
      <c r="E760" t="s">
        <v>99</v>
      </c>
      <c r="F760" t="s">
        <v>258</v>
      </c>
      <c r="G760">
        <v>54.933</v>
      </c>
      <c r="H760" s="9">
        <v>9</v>
      </c>
      <c r="J760" s="6">
        <f>IFERROR(Info_Camas[[#This Row],[Lineas]]/Info_Camas[[#This Row],[Cortinas]],"Pendiente")</f>
        <v>0</v>
      </c>
    </row>
    <row r="761" spans="1:10" x14ac:dyDescent="0.25">
      <c r="A761" t="str">
        <f>+_xlfn.CONCAT(Info_Camas[[#This Row],[Bloque]],Info_Camas[[#This Row],[Lado]],Info_Camas[[#This Row],[Cama]])</f>
        <v>04B096</v>
      </c>
      <c r="B761" t="s">
        <v>739</v>
      </c>
      <c r="C761" t="s">
        <v>30</v>
      </c>
      <c r="D761" t="s">
        <v>21</v>
      </c>
      <c r="E761" t="s">
        <v>99</v>
      </c>
      <c r="F761" t="s">
        <v>258</v>
      </c>
      <c r="G761">
        <v>54.933</v>
      </c>
      <c r="H761" s="9">
        <v>9</v>
      </c>
      <c r="J761" s="6">
        <f>IFERROR(Info_Camas[[#This Row],[Lineas]]/Info_Camas[[#This Row],[Cortinas]],"Pendiente")</f>
        <v>0</v>
      </c>
    </row>
    <row r="762" spans="1:10" x14ac:dyDescent="0.25">
      <c r="A762" t="str">
        <f>+_xlfn.CONCAT(Info_Camas[[#This Row],[Bloque]],Info_Camas[[#This Row],[Lado]],Info_Camas[[#This Row],[Cama]])</f>
        <v>04A097</v>
      </c>
      <c r="B762" t="s">
        <v>739</v>
      </c>
      <c r="C762" t="s">
        <v>30</v>
      </c>
      <c r="D762" t="s">
        <v>15</v>
      </c>
      <c r="E762" t="s">
        <v>102</v>
      </c>
      <c r="F762" t="s">
        <v>260</v>
      </c>
      <c r="G762">
        <v>41.196899999999999</v>
      </c>
      <c r="H762" s="9">
        <v>9</v>
      </c>
      <c r="J762" s="6">
        <f>IFERROR(Info_Camas[[#This Row],[Lineas]]/Info_Camas[[#This Row],[Cortinas]],"Pendiente")</f>
        <v>0</v>
      </c>
    </row>
    <row r="763" spans="1:10" x14ac:dyDescent="0.25">
      <c r="A763" t="str">
        <f>+_xlfn.CONCAT(Info_Camas[[#This Row],[Bloque]],Info_Camas[[#This Row],[Lado]],Info_Camas[[#This Row],[Cama]])</f>
        <v>04B097</v>
      </c>
      <c r="B763" t="s">
        <v>739</v>
      </c>
      <c r="C763" t="s">
        <v>30</v>
      </c>
      <c r="D763" t="s">
        <v>21</v>
      </c>
      <c r="E763" t="s">
        <v>102</v>
      </c>
      <c r="F763" t="s">
        <v>260</v>
      </c>
      <c r="G763">
        <v>51.085000000000001</v>
      </c>
      <c r="H763" s="9">
        <v>9</v>
      </c>
      <c r="J763" s="6">
        <f>IFERROR(Info_Camas[[#This Row],[Lineas]]/Info_Camas[[#This Row],[Cortinas]],"Pendiente")</f>
        <v>0</v>
      </c>
    </row>
    <row r="764" spans="1:10" x14ac:dyDescent="0.25">
      <c r="A764" t="str">
        <f>+_xlfn.CONCAT(Info_Camas[[#This Row],[Bloque]],Info_Camas[[#This Row],[Lado]],Info_Camas[[#This Row],[Cama]])</f>
        <v>04A098</v>
      </c>
      <c r="B764" t="s">
        <v>739</v>
      </c>
      <c r="C764" t="s">
        <v>30</v>
      </c>
      <c r="D764" t="s">
        <v>15</v>
      </c>
      <c r="E764" t="s">
        <v>102</v>
      </c>
      <c r="F764" t="s">
        <v>262</v>
      </c>
      <c r="G764">
        <v>54.933</v>
      </c>
      <c r="H764" s="9">
        <v>9</v>
      </c>
      <c r="J764" s="6">
        <f>IFERROR(Info_Camas[[#This Row],[Lineas]]/Info_Camas[[#This Row],[Cortinas]],"Pendiente")</f>
        <v>0</v>
      </c>
    </row>
    <row r="765" spans="1:10" x14ac:dyDescent="0.25">
      <c r="A765" t="str">
        <f>+_xlfn.CONCAT(Info_Camas[[#This Row],[Bloque]],Info_Camas[[#This Row],[Lado]],Info_Camas[[#This Row],[Cama]])</f>
        <v>04B098</v>
      </c>
      <c r="B765" t="s">
        <v>739</v>
      </c>
      <c r="C765" t="s">
        <v>30</v>
      </c>
      <c r="D765" t="s">
        <v>21</v>
      </c>
      <c r="E765" t="s">
        <v>102</v>
      </c>
      <c r="F765" t="s">
        <v>262</v>
      </c>
      <c r="G765">
        <v>54.933</v>
      </c>
      <c r="H765" s="9">
        <v>9</v>
      </c>
      <c r="J765" s="6">
        <f>IFERROR(Info_Camas[[#This Row],[Lineas]]/Info_Camas[[#This Row],[Cortinas]],"Pendiente")</f>
        <v>0</v>
      </c>
    </row>
    <row r="766" spans="1:10" x14ac:dyDescent="0.25">
      <c r="A766" t="str">
        <f>+_xlfn.CONCAT(Info_Camas[[#This Row],[Bloque]],Info_Camas[[#This Row],[Lado]],Info_Camas[[#This Row],[Cama]])</f>
        <v>04A099</v>
      </c>
      <c r="B766" t="s">
        <v>739</v>
      </c>
      <c r="C766" t="s">
        <v>30</v>
      </c>
      <c r="D766" t="s">
        <v>15</v>
      </c>
      <c r="E766" t="s">
        <v>102</v>
      </c>
      <c r="F766" t="s">
        <v>264</v>
      </c>
      <c r="G766">
        <v>54.933</v>
      </c>
      <c r="H766" s="9">
        <v>9</v>
      </c>
      <c r="J766" s="6">
        <f>IFERROR(Info_Camas[[#This Row],[Lineas]]/Info_Camas[[#This Row],[Cortinas]],"Pendiente")</f>
        <v>0</v>
      </c>
    </row>
    <row r="767" spans="1:10" x14ac:dyDescent="0.25">
      <c r="A767" t="str">
        <f>+_xlfn.CONCAT(Info_Camas[[#This Row],[Bloque]],Info_Camas[[#This Row],[Lado]],Info_Camas[[#This Row],[Cama]])</f>
        <v>04B099</v>
      </c>
      <c r="B767" t="s">
        <v>739</v>
      </c>
      <c r="C767" t="s">
        <v>30</v>
      </c>
      <c r="D767" t="s">
        <v>21</v>
      </c>
      <c r="E767" t="s">
        <v>102</v>
      </c>
      <c r="F767" t="s">
        <v>264</v>
      </c>
      <c r="G767">
        <v>53.4681</v>
      </c>
      <c r="H767" s="9">
        <v>9</v>
      </c>
      <c r="J767" s="6">
        <f>IFERROR(Info_Camas[[#This Row],[Lineas]]/Info_Camas[[#This Row],[Cortinas]],"Pendiente")</f>
        <v>0</v>
      </c>
    </row>
    <row r="768" spans="1:10" x14ac:dyDescent="0.25">
      <c r="A768" t="str">
        <f>+_xlfn.CONCAT(Info_Camas[[#This Row],[Bloque]],Info_Camas[[#This Row],[Lado]],Info_Camas[[#This Row],[Cama]])</f>
        <v>04A100</v>
      </c>
      <c r="B768" t="s">
        <v>739</v>
      </c>
      <c r="C768" t="s">
        <v>30</v>
      </c>
      <c r="D768" t="s">
        <v>15</v>
      </c>
      <c r="E768" t="s">
        <v>102</v>
      </c>
      <c r="F768" t="s">
        <v>266</v>
      </c>
      <c r="G768">
        <v>54.933</v>
      </c>
      <c r="H768" s="9">
        <v>9</v>
      </c>
      <c r="J768" s="6">
        <f>IFERROR(Info_Camas[[#This Row],[Lineas]]/Info_Camas[[#This Row],[Cortinas]],"Pendiente")</f>
        <v>0</v>
      </c>
    </row>
    <row r="769" spans="1:10" x14ac:dyDescent="0.25">
      <c r="A769" t="str">
        <f>+_xlfn.CONCAT(Info_Camas[[#This Row],[Bloque]],Info_Camas[[#This Row],[Lado]],Info_Camas[[#This Row],[Cama]])</f>
        <v>04B100</v>
      </c>
      <c r="B769" t="s">
        <v>739</v>
      </c>
      <c r="C769" t="s">
        <v>30</v>
      </c>
      <c r="D769" t="s">
        <v>21</v>
      </c>
      <c r="E769" t="s">
        <v>102</v>
      </c>
      <c r="F769" t="s">
        <v>266</v>
      </c>
      <c r="G769">
        <v>54.933</v>
      </c>
      <c r="H769" s="9">
        <v>9</v>
      </c>
      <c r="J769" s="6">
        <f>IFERROR(Info_Camas[[#This Row],[Lineas]]/Info_Camas[[#This Row],[Cortinas]],"Pendiente")</f>
        <v>0</v>
      </c>
    </row>
    <row r="770" spans="1:10" x14ac:dyDescent="0.25">
      <c r="A770" t="str">
        <f>+_xlfn.CONCAT(Info_Camas[[#This Row],[Bloque]],Info_Camas[[#This Row],[Lado]],Info_Camas[[#This Row],[Cama]])</f>
        <v>04A101</v>
      </c>
      <c r="B770" t="s">
        <v>739</v>
      </c>
      <c r="C770" t="s">
        <v>30</v>
      </c>
      <c r="D770" t="s">
        <v>15</v>
      </c>
      <c r="E770" t="s">
        <v>105</v>
      </c>
      <c r="F770" t="s">
        <v>268</v>
      </c>
      <c r="G770">
        <v>54.933</v>
      </c>
      <c r="H770" s="9">
        <v>9</v>
      </c>
      <c r="J770" s="6">
        <f>IFERROR(Info_Camas[[#This Row],[Lineas]]/Info_Camas[[#This Row],[Cortinas]],"Pendiente")</f>
        <v>0</v>
      </c>
    </row>
    <row r="771" spans="1:10" x14ac:dyDescent="0.25">
      <c r="A771" t="str">
        <f>+_xlfn.CONCAT(Info_Camas[[#This Row],[Bloque]],Info_Camas[[#This Row],[Lado]],Info_Camas[[#This Row],[Cama]])</f>
        <v>04B101</v>
      </c>
      <c r="B771" t="s">
        <v>739</v>
      </c>
      <c r="C771" t="s">
        <v>30</v>
      </c>
      <c r="D771" t="s">
        <v>21</v>
      </c>
      <c r="E771" t="s">
        <v>105</v>
      </c>
      <c r="F771" t="s">
        <v>268</v>
      </c>
      <c r="G771">
        <v>54.933</v>
      </c>
      <c r="H771" s="9">
        <v>9</v>
      </c>
      <c r="J771" s="6">
        <f>IFERROR(Info_Camas[[#This Row],[Lineas]]/Info_Camas[[#This Row],[Cortinas]],"Pendiente")</f>
        <v>0</v>
      </c>
    </row>
    <row r="772" spans="1:10" x14ac:dyDescent="0.25">
      <c r="A772" t="str">
        <f>+_xlfn.CONCAT(Info_Camas[[#This Row],[Bloque]],Info_Camas[[#This Row],[Lado]],Info_Camas[[#This Row],[Cama]])</f>
        <v>04A102</v>
      </c>
      <c r="B772" t="s">
        <v>739</v>
      </c>
      <c r="C772" t="s">
        <v>30</v>
      </c>
      <c r="D772" t="s">
        <v>15</v>
      </c>
      <c r="E772" t="s">
        <v>105</v>
      </c>
      <c r="F772" t="s">
        <v>270</v>
      </c>
      <c r="G772">
        <v>54.933</v>
      </c>
      <c r="H772" s="9">
        <v>9</v>
      </c>
      <c r="J772" s="6">
        <f>IFERROR(Info_Camas[[#This Row],[Lineas]]/Info_Camas[[#This Row],[Cortinas]],"Pendiente")</f>
        <v>0</v>
      </c>
    </row>
    <row r="773" spans="1:10" x14ac:dyDescent="0.25">
      <c r="A773" t="str">
        <f>+_xlfn.CONCAT(Info_Camas[[#This Row],[Bloque]],Info_Camas[[#This Row],[Lado]],Info_Camas[[#This Row],[Cama]])</f>
        <v>04B102</v>
      </c>
      <c r="B773" t="s">
        <v>739</v>
      </c>
      <c r="C773" t="s">
        <v>30</v>
      </c>
      <c r="D773" t="s">
        <v>21</v>
      </c>
      <c r="E773" t="s">
        <v>105</v>
      </c>
      <c r="F773" t="s">
        <v>270</v>
      </c>
      <c r="G773">
        <v>54.933</v>
      </c>
      <c r="H773" s="9">
        <v>9</v>
      </c>
      <c r="J773" s="6">
        <f>IFERROR(Info_Camas[[#This Row],[Lineas]]/Info_Camas[[#This Row],[Cortinas]],"Pendiente")</f>
        <v>0</v>
      </c>
    </row>
    <row r="774" spans="1:10" x14ac:dyDescent="0.25">
      <c r="A774" t="str">
        <f>+_xlfn.CONCAT(Info_Camas[[#This Row],[Bloque]],Info_Camas[[#This Row],[Lado]],Info_Camas[[#This Row],[Cama]])</f>
        <v>04A103</v>
      </c>
      <c r="B774" t="s">
        <v>739</v>
      </c>
      <c r="C774" t="s">
        <v>30</v>
      </c>
      <c r="D774" t="s">
        <v>15</v>
      </c>
      <c r="E774" t="s">
        <v>105</v>
      </c>
      <c r="F774" t="s">
        <v>272</v>
      </c>
      <c r="G774">
        <v>54.933</v>
      </c>
      <c r="H774" s="9">
        <v>9</v>
      </c>
      <c r="J774" s="6">
        <f>IFERROR(Info_Camas[[#This Row],[Lineas]]/Info_Camas[[#This Row],[Cortinas]],"Pendiente")</f>
        <v>0</v>
      </c>
    </row>
    <row r="775" spans="1:10" x14ac:dyDescent="0.25">
      <c r="A775" t="str">
        <f>+_xlfn.CONCAT(Info_Camas[[#This Row],[Bloque]],Info_Camas[[#This Row],[Lado]],Info_Camas[[#This Row],[Cama]])</f>
        <v>04B103</v>
      </c>
      <c r="B775" t="s">
        <v>739</v>
      </c>
      <c r="C775" t="s">
        <v>30</v>
      </c>
      <c r="D775" t="s">
        <v>21</v>
      </c>
      <c r="E775" t="s">
        <v>105</v>
      </c>
      <c r="F775" t="s">
        <v>272</v>
      </c>
      <c r="G775">
        <v>54.933</v>
      </c>
      <c r="H775" s="9">
        <v>9</v>
      </c>
      <c r="J775" s="6">
        <f>IFERROR(Info_Camas[[#This Row],[Lineas]]/Info_Camas[[#This Row],[Cortinas]],"Pendiente")</f>
        <v>0</v>
      </c>
    </row>
    <row r="776" spans="1:10" x14ac:dyDescent="0.25">
      <c r="A776" t="str">
        <f>+_xlfn.CONCAT(Info_Camas[[#This Row],[Bloque]],Info_Camas[[#This Row],[Lado]],Info_Camas[[#This Row],[Cama]])</f>
        <v>04A104</v>
      </c>
      <c r="B776" t="s">
        <v>739</v>
      </c>
      <c r="C776" t="s">
        <v>30</v>
      </c>
      <c r="D776" t="s">
        <v>15</v>
      </c>
      <c r="E776" t="s">
        <v>105</v>
      </c>
      <c r="F776" t="s">
        <v>274</v>
      </c>
      <c r="G776">
        <v>24.7227</v>
      </c>
      <c r="H776" s="9">
        <v>9</v>
      </c>
      <c r="J776" s="6">
        <f>IFERROR(Info_Camas[[#This Row],[Lineas]]/Info_Camas[[#This Row],[Cortinas]],"Pendiente")</f>
        <v>0</v>
      </c>
    </row>
    <row r="777" spans="1:10" x14ac:dyDescent="0.25">
      <c r="A777" t="str">
        <f>+_xlfn.CONCAT(Info_Camas[[#This Row],[Bloque]],Info_Camas[[#This Row],[Lado]],Info_Camas[[#This Row],[Cama]])</f>
        <v>04B104</v>
      </c>
      <c r="B777" t="s">
        <v>739</v>
      </c>
      <c r="C777" t="s">
        <v>30</v>
      </c>
      <c r="D777" t="s">
        <v>21</v>
      </c>
      <c r="E777" t="s">
        <v>105</v>
      </c>
      <c r="F777" t="s">
        <v>274</v>
      </c>
      <c r="G777">
        <v>54.933</v>
      </c>
      <c r="H777" s="9">
        <v>9</v>
      </c>
      <c r="J777" s="6">
        <f>IFERROR(Info_Camas[[#This Row],[Lineas]]/Info_Camas[[#This Row],[Cortinas]],"Pendiente")</f>
        <v>0</v>
      </c>
    </row>
    <row r="778" spans="1:10" x14ac:dyDescent="0.25">
      <c r="A778" t="str">
        <f>+_xlfn.CONCAT(Info_Camas[[#This Row],[Bloque]],Info_Camas[[#This Row],[Lado]],Info_Camas[[#This Row],[Cama]])</f>
        <v>04A105</v>
      </c>
      <c r="B778" t="s">
        <v>739</v>
      </c>
      <c r="C778" t="s">
        <v>30</v>
      </c>
      <c r="D778" t="s">
        <v>15</v>
      </c>
      <c r="E778" t="s">
        <v>108</v>
      </c>
      <c r="F778" t="s">
        <v>276</v>
      </c>
      <c r="G778">
        <v>54.933</v>
      </c>
      <c r="H778" s="9">
        <v>9</v>
      </c>
      <c r="J778" s="6">
        <f>IFERROR(Info_Camas[[#This Row],[Lineas]]/Info_Camas[[#This Row],[Cortinas]],"Pendiente")</f>
        <v>0</v>
      </c>
    </row>
    <row r="779" spans="1:10" x14ac:dyDescent="0.25">
      <c r="A779" t="str">
        <f>+_xlfn.CONCAT(Info_Camas[[#This Row],[Bloque]],Info_Camas[[#This Row],[Lado]],Info_Camas[[#This Row],[Cama]])</f>
        <v>04B105</v>
      </c>
      <c r="B779" t="s">
        <v>739</v>
      </c>
      <c r="C779" t="s">
        <v>30</v>
      </c>
      <c r="D779" t="s">
        <v>21</v>
      </c>
      <c r="E779" t="s">
        <v>108</v>
      </c>
      <c r="F779" t="s">
        <v>276</v>
      </c>
      <c r="G779">
        <v>15.2592</v>
      </c>
      <c r="H779" s="9">
        <v>9</v>
      </c>
      <c r="J779" s="6">
        <f>IFERROR(Info_Camas[[#This Row],[Lineas]]/Info_Camas[[#This Row],[Cortinas]],"Pendiente")</f>
        <v>0</v>
      </c>
    </row>
    <row r="780" spans="1:10" x14ac:dyDescent="0.25">
      <c r="A780" t="str">
        <f>+_xlfn.CONCAT(Info_Camas[[#This Row],[Bloque]],Info_Camas[[#This Row],[Lado]],Info_Camas[[#This Row],[Cama]])</f>
        <v>04A106</v>
      </c>
      <c r="B780" t="s">
        <v>739</v>
      </c>
      <c r="C780" t="s">
        <v>30</v>
      </c>
      <c r="D780" t="s">
        <v>15</v>
      </c>
      <c r="E780" t="s">
        <v>108</v>
      </c>
      <c r="F780" t="s">
        <v>278</v>
      </c>
      <c r="G780">
        <v>54.933</v>
      </c>
      <c r="H780" s="9">
        <v>9</v>
      </c>
      <c r="J780" s="6">
        <f>IFERROR(Info_Camas[[#This Row],[Lineas]]/Info_Camas[[#This Row],[Cortinas]],"Pendiente")</f>
        <v>0</v>
      </c>
    </row>
    <row r="781" spans="1:10" x14ac:dyDescent="0.25">
      <c r="A781" t="str">
        <f>+_xlfn.CONCAT(Info_Camas[[#This Row],[Bloque]],Info_Camas[[#This Row],[Lado]],Info_Camas[[#This Row],[Cama]])</f>
        <v>04B106</v>
      </c>
      <c r="B781" t="s">
        <v>739</v>
      </c>
      <c r="C781" t="s">
        <v>30</v>
      </c>
      <c r="D781" t="s">
        <v>21</v>
      </c>
      <c r="E781" t="s">
        <v>108</v>
      </c>
      <c r="F781" t="s">
        <v>278</v>
      </c>
      <c r="G781">
        <v>27.4665</v>
      </c>
      <c r="H781" s="9">
        <v>9</v>
      </c>
      <c r="J781" s="6">
        <f>IFERROR(Info_Camas[[#This Row],[Lineas]]/Info_Camas[[#This Row],[Cortinas]],"Pendiente")</f>
        <v>0</v>
      </c>
    </row>
    <row r="782" spans="1:10" x14ac:dyDescent="0.25">
      <c r="A782" t="str">
        <f>+_xlfn.CONCAT(Info_Camas[[#This Row],[Bloque]],Info_Camas[[#This Row],[Lado]],Info_Camas[[#This Row],[Cama]])</f>
        <v>04A107</v>
      </c>
      <c r="B782" t="s">
        <v>739</v>
      </c>
      <c r="C782" t="s">
        <v>30</v>
      </c>
      <c r="D782" t="s">
        <v>15</v>
      </c>
      <c r="E782" t="s">
        <v>108</v>
      </c>
      <c r="F782" t="s">
        <v>280</v>
      </c>
      <c r="G782">
        <v>54.933</v>
      </c>
      <c r="H782" s="9">
        <v>9</v>
      </c>
      <c r="J782" s="6">
        <f>IFERROR(Info_Camas[[#This Row],[Lineas]]/Info_Camas[[#This Row],[Cortinas]],"Pendiente")</f>
        <v>0</v>
      </c>
    </row>
    <row r="783" spans="1:10" x14ac:dyDescent="0.25">
      <c r="A783" t="str">
        <f>+_xlfn.CONCAT(Info_Camas[[#This Row],[Bloque]],Info_Camas[[#This Row],[Lado]],Info_Camas[[#This Row],[Cama]])</f>
        <v>04B107</v>
      </c>
      <c r="B783" t="s">
        <v>739</v>
      </c>
      <c r="C783" t="s">
        <v>30</v>
      </c>
      <c r="D783" t="s">
        <v>21</v>
      </c>
      <c r="E783" t="s">
        <v>108</v>
      </c>
      <c r="F783" t="s">
        <v>280</v>
      </c>
      <c r="G783">
        <v>54.933</v>
      </c>
      <c r="H783" s="9">
        <v>9</v>
      </c>
      <c r="J783" s="6">
        <f>IFERROR(Info_Camas[[#This Row],[Lineas]]/Info_Camas[[#This Row],[Cortinas]],"Pendiente")</f>
        <v>0</v>
      </c>
    </row>
    <row r="784" spans="1:10" x14ac:dyDescent="0.25">
      <c r="A784" t="str">
        <f>+_xlfn.CONCAT(Info_Camas[[#This Row],[Bloque]],Info_Camas[[#This Row],[Lado]],Info_Camas[[#This Row],[Cama]])</f>
        <v>04A108</v>
      </c>
      <c r="B784" t="s">
        <v>739</v>
      </c>
      <c r="C784" t="s">
        <v>30</v>
      </c>
      <c r="D784" t="s">
        <v>15</v>
      </c>
      <c r="E784" t="s">
        <v>108</v>
      </c>
      <c r="F784" t="s">
        <v>282</v>
      </c>
      <c r="G784">
        <v>54.933</v>
      </c>
      <c r="H784" s="9">
        <v>9</v>
      </c>
      <c r="J784" s="6">
        <f>IFERROR(Info_Camas[[#This Row],[Lineas]]/Info_Camas[[#This Row],[Cortinas]],"Pendiente")</f>
        <v>0</v>
      </c>
    </row>
    <row r="785" spans="1:10" x14ac:dyDescent="0.25">
      <c r="A785" t="str">
        <f>+_xlfn.CONCAT(Info_Camas[[#This Row],[Bloque]],Info_Camas[[#This Row],[Lado]],Info_Camas[[#This Row],[Cama]])</f>
        <v>04B108</v>
      </c>
      <c r="B785" t="s">
        <v>739</v>
      </c>
      <c r="C785" t="s">
        <v>30</v>
      </c>
      <c r="D785" t="s">
        <v>21</v>
      </c>
      <c r="E785" t="s">
        <v>108</v>
      </c>
      <c r="F785" t="s">
        <v>282</v>
      </c>
      <c r="G785">
        <v>54.933</v>
      </c>
      <c r="H785" s="9">
        <v>9</v>
      </c>
      <c r="J785" s="6">
        <f>IFERROR(Info_Camas[[#This Row],[Lineas]]/Info_Camas[[#This Row],[Cortinas]],"Pendiente")</f>
        <v>0</v>
      </c>
    </row>
    <row r="786" spans="1:10" x14ac:dyDescent="0.25">
      <c r="A786" t="str">
        <f>+_xlfn.CONCAT(Info_Camas[[#This Row],[Bloque]],Info_Camas[[#This Row],[Lado]],Info_Camas[[#This Row],[Cama]])</f>
        <v>04A109</v>
      </c>
      <c r="B786" t="s">
        <v>739</v>
      </c>
      <c r="C786" t="s">
        <v>30</v>
      </c>
      <c r="D786" t="s">
        <v>15</v>
      </c>
      <c r="E786" t="s">
        <v>111</v>
      </c>
      <c r="F786" t="s">
        <v>284</v>
      </c>
      <c r="G786">
        <v>54.933</v>
      </c>
      <c r="H786" s="9">
        <v>9</v>
      </c>
      <c r="J786" s="6">
        <f>IFERROR(Info_Camas[[#This Row],[Lineas]]/Info_Camas[[#This Row],[Cortinas]],"Pendiente")</f>
        <v>0</v>
      </c>
    </row>
    <row r="787" spans="1:10" x14ac:dyDescent="0.25">
      <c r="A787" t="str">
        <f>+_xlfn.CONCAT(Info_Camas[[#This Row],[Bloque]],Info_Camas[[#This Row],[Lado]],Info_Camas[[#This Row],[Cama]])</f>
        <v>04B109</v>
      </c>
      <c r="B787" t="s">
        <v>739</v>
      </c>
      <c r="C787" t="s">
        <v>30</v>
      </c>
      <c r="D787" t="s">
        <v>21</v>
      </c>
      <c r="E787" t="s">
        <v>111</v>
      </c>
      <c r="F787" t="s">
        <v>284</v>
      </c>
      <c r="G787">
        <v>54.933</v>
      </c>
      <c r="H787" s="9">
        <v>9</v>
      </c>
      <c r="J787" s="6">
        <f>IFERROR(Info_Camas[[#This Row],[Lineas]]/Info_Camas[[#This Row],[Cortinas]],"Pendiente")</f>
        <v>0</v>
      </c>
    </row>
    <row r="788" spans="1:10" x14ac:dyDescent="0.25">
      <c r="A788" t="str">
        <f>+_xlfn.CONCAT(Info_Camas[[#This Row],[Bloque]],Info_Camas[[#This Row],[Lado]],Info_Camas[[#This Row],[Cama]])</f>
        <v>04A110</v>
      </c>
      <c r="B788" t="s">
        <v>739</v>
      </c>
      <c r="C788" t="s">
        <v>30</v>
      </c>
      <c r="D788" t="s">
        <v>15</v>
      </c>
      <c r="E788" t="s">
        <v>111</v>
      </c>
      <c r="F788" t="s">
        <v>286</v>
      </c>
      <c r="G788">
        <v>54.933</v>
      </c>
      <c r="H788" s="9">
        <v>9</v>
      </c>
      <c r="J788" s="6">
        <f>IFERROR(Info_Camas[[#This Row],[Lineas]]/Info_Camas[[#This Row],[Cortinas]],"Pendiente")</f>
        <v>0</v>
      </c>
    </row>
    <row r="789" spans="1:10" x14ac:dyDescent="0.25">
      <c r="A789" t="str">
        <f>+_xlfn.CONCAT(Info_Camas[[#This Row],[Bloque]],Info_Camas[[#This Row],[Lado]],Info_Camas[[#This Row],[Cama]])</f>
        <v>04B110</v>
      </c>
      <c r="B789" t="s">
        <v>739</v>
      </c>
      <c r="C789" t="s">
        <v>30</v>
      </c>
      <c r="D789" t="s">
        <v>21</v>
      </c>
      <c r="E789" t="s">
        <v>111</v>
      </c>
      <c r="F789" t="s">
        <v>286</v>
      </c>
      <c r="G789">
        <v>10.988899999999999</v>
      </c>
      <c r="H789" s="9">
        <v>9</v>
      </c>
      <c r="J789" s="6">
        <f>IFERROR(Info_Camas[[#This Row],[Lineas]]/Info_Camas[[#This Row],[Cortinas]],"Pendiente")</f>
        <v>0</v>
      </c>
    </row>
    <row r="790" spans="1:10" x14ac:dyDescent="0.25">
      <c r="A790" t="str">
        <f>+_xlfn.CONCAT(Info_Camas[[#This Row],[Bloque]],Info_Camas[[#This Row],[Lado]],Info_Camas[[#This Row],[Cama]])</f>
        <v>04A111</v>
      </c>
      <c r="B790" t="s">
        <v>739</v>
      </c>
      <c r="C790" t="s">
        <v>30</v>
      </c>
      <c r="D790" t="s">
        <v>15</v>
      </c>
      <c r="E790" t="s">
        <v>111</v>
      </c>
      <c r="F790" t="s">
        <v>288</v>
      </c>
      <c r="G790">
        <v>54.933</v>
      </c>
      <c r="H790" s="9">
        <v>9</v>
      </c>
      <c r="J790" s="6">
        <f>IFERROR(Info_Camas[[#This Row],[Lineas]]/Info_Camas[[#This Row],[Cortinas]],"Pendiente")</f>
        <v>0</v>
      </c>
    </row>
    <row r="791" spans="1:10" x14ac:dyDescent="0.25">
      <c r="A791" t="str">
        <f>+_xlfn.CONCAT(Info_Camas[[#This Row],[Bloque]],Info_Camas[[#This Row],[Lado]],Info_Camas[[#This Row],[Cama]])</f>
        <v>04B111</v>
      </c>
      <c r="B791" t="s">
        <v>739</v>
      </c>
      <c r="C791" t="s">
        <v>30</v>
      </c>
      <c r="D791" t="s">
        <v>21</v>
      </c>
      <c r="E791" t="s">
        <v>111</v>
      </c>
      <c r="F791" t="s">
        <v>288</v>
      </c>
      <c r="G791">
        <v>54.933</v>
      </c>
      <c r="H791" s="9">
        <v>9</v>
      </c>
      <c r="J791" s="6">
        <f>IFERROR(Info_Camas[[#This Row],[Lineas]]/Info_Camas[[#This Row],[Cortinas]],"Pendiente")</f>
        <v>0</v>
      </c>
    </row>
    <row r="792" spans="1:10" x14ac:dyDescent="0.25">
      <c r="A792" t="str">
        <f>+_xlfn.CONCAT(Info_Camas[[#This Row],[Bloque]],Info_Camas[[#This Row],[Lado]],Info_Camas[[#This Row],[Cama]])</f>
        <v>04A112</v>
      </c>
      <c r="B792" t="s">
        <v>739</v>
      </c>
      <c r="C792" t="s">
        <v>30</v>
      </c>
      <c r="D792" t="s">
        <v>15</v>
      </c>
      <c r="E792" t="s">
        <v>111</v>
      </c>
      <c r="F792" t="s">
        <v>290</v>
      </c>
      <c r="G792">
        <v>54.933</v>
      </c>
      <c r="H792" s="9">
        <v>9</v>
      </c>
      <c r="J792" s="6">
        <f>IFERROR(Info_Camas[[#This Row],[Lineas]]/Info_Camas[[#This Row],[Cortinas]],"Pendiente")</f>
        <v>0</v>
      </c>
    </row>
    <row r="793" spans="1:10" x14ac:dyDescent="0.25">
      <c r="A793" t="str">
        <f>+_xlfn.CONCAT(Info_Camas[[#This Row],[Bloque]],Info_Camas[[#This Row],[Lado]],Info_Camas[[#This Row],[Cama]])</f>
        <v>04B112</v>
      </c>
      <c r="B793" t="s">
        <v>739</v>
      </c>
      <c r="C793" t="s">
        <v>30</v>
      </c>
      <c r="D793" t="s">
        <v>21</v>
      </c>
      <c r="E793" t="s">
        <v>111</v>
      </c>
      <c r="F793" t="s">
        <v>290</v>
      </c>
      <c r="G793">
        <v>30.210899999999999</v>
      </c>
      <c r="H793" s="9">
        <v>9</v>
      </c>
      <c r="J793" s="6">
        <f>IFERROR(Info_Camas[[#This Row],[Lineas]]/Info_Camas[[#This Row],[Cortinas]],"Pendiente")</f>
        <v>0</v>
      </c>
    </row>
    <row r="794" spans="1:10" x14ac:dyDescent="0.25">
      <c r="A794" t="str">
        <f>+_xlfn.CONCAT(Info_Camas[[#This Row],[Bloque]],Info_Camas[[#This Row],[Lado]],Info_Camas[[#This Row],[Cama]])</f>
        <v>04A113</v>
      </c>
      <c r="B794" t="s">
        <v>739</v>
      </c>
      <c r="C794" t="s">
        <v>30</v>
      </c>
      <c r="D794" t="s">
        <v>15</v>
      </c>
      <c r="E794" t="s">
        <v>114</v>
      </c>
      <c r="F794" t="s">
        <v>292</v>
      </c>
      <c r="G794">
        <v>54.933</v>
      </c>
      <c r="H794" s="9">
        <v>9</v>
      </c>
      <c r="J794" s="6">
        <f>IFERROR(Info_Camas[[#This Row],[Lineas]]/Info_Camas[[#This Row],[Cortinas]],"Pendiente")</f>
        <v>0</v>
      </c>
    </row>
    <row r="795" spans="1:10" x14ac:dyDescent="0.25">
      <c r="A795" t="str">
        <f>+_xlfn.CONCAT(Info_Camas[[#This Row],[Bloque]],Info_Camas[[#This Row],[Lado]],Info_Camas[[#This Row],[Cama]])</f>
        <v>04B113</v>
      </c>
      <c r="B795" t="s">
        <v>739</v>
      </c>
      <c r="C795" t="s">
        <v>30</v>
      </c>
      <c r="D795" t="s">
        <v>21</v>
      </c>
      <c r="E795" t="s">
        <v>114</v>
      </c>
      <c r="F795" t="s">
        <v>292</v>
      </c>
      <c r="G795">
        <v>54.933</v>
      </c>
      <c r="H795" s="9">
        <v>9</v>
      </c>
      <c r="J795" s="6">
        <f>IFERROR(Info_Camas[[#This Row],[Lineas]]/Info_Camas[[#This Row],[Cortinas]],"Pendiente")</f>
        <v>0</v>
      </c>
    </row>
    <row r="796" spans="1:10" x14ac:dyDescent="0.25">
      <c r="A796" t="str">
        <f>+_xlfn.CONCAT(Info_Camas[[#This Row],[Bloque]],Info_Camas[[#This Row],[Lado]],Info_Camas[[#This Row],[Cama]])</f>
        <v>04A114</v>
      </c>
      <c r="B796" t="s">
        <v>739</v>
      </c>
      <c r="C796" t="s">
        <v>30</v>
      </c>
      <c r="D796" t="s">
        <v>15</v>
      </c>
      <c r="E796" t="s">
        <v>114</v>
      </c>
      <c r="F796" t="s">
        <v>294</v>
      </c>
      <c r="G796">
        <v>54.933</v>
      </c>
      <c r="H796" s="9">
        <v>9</v>
      </c>
      <c r="J796" s="6">
        <f>IFERROR(Info_Camas[[#This Row],[Lineas]]/Info_Camas[[#This Row],[Cortinas]],"Pendiente")</f>
        <v>0</v>
      </c>
    </row>
    <row r="797" spans="1:10" x14ac:dyDescent="0.25">
      <c r="A797" t="str">
        <f>+_xlfn.CONCAT(Info_Camas[[#This Row],[Bloque]],Info_Camas[[#This Row],[Lado]],Info_Camas[[#This Row],[Cama]])</f>
        <v>04B114</v>
      </c>
      <c r="B797" t="s">
        <v>739</v>
      </c>
      <c r="C797" t="s">
        <v>30</v>
      </c>
      <c r="D797" t="s">
        <v>21</v>
      </c>
      <c r="E797" t="s">
        <v>114</v>
      </c>
      <c r="F797" t="s">
        <v>294</v>
      </c>
      <c r="G797">
        <v>54.933</v>
      </c>
      <c r="H797" s="9">
        <v>9</v>
      </c>
      <c r="J797" s="6">
        <f>IFERROR(Info_Camas[[#This Row],[Lineas]]/Info_Camas[[#This Row],[Cortinas]],"Pendiente")</f>
        <v>0</v>
      </c>
    </row>
    <row r="798" spans="1:10" x14ac:dyDescent="0.25">
      <c r="A798" t="str">
        <f>+_xlfn.CONCAT(Info_Camas[[#This Row],[Bloque]],Info_Camas[[#This Row],[Lado]],Info_Camas[[#This Row],[Cama]])</f>
        <v>04A115</v>
      </c>
      <c r="B798" t="s">
        <v>739</v>
      </c>
      <c r="C798" t="s">
        <v>30</v>
      </c>
      <c r="D798" t="s">
        <v>15</v>
      </c>
      <c r="E798" t="s">
        <v>114</v>
      </c>
      <c r="F798" t="s">
        <v>296</v>
      </c>
      <c r="G798">
        <v>54.933</v>
      </c>
      <c r="H798" s="9">
        <v>9</v>
      </c>
      <c r="J798" s="6">
        <f>IFERROR(Info_Camas[[#This Row],[Lineas]]/Info_Camas[[#This Row],[Cortinas]],"Pendiente")</f>
        <v>0</v>
      </c>
    </row>
    <row r="799" spans="1:10" x14ac:dyDescent="0.25">
      <c r="A799" t="str">
        <f>+_xlfn.CONCAT(Info_Camas[[#This Row],[Bloque]],Info_Camas[[#This Row],[Lado]],Info_Camas[[#This Row],[Cama]])</f>
        <v>04B115</v>
      </c>
      <c r="B799" t="s">
        <v>739</v>
      </c>
      <c r="C799" t="s">
        <v>30</v>
      </c>
      <c r="D799" t="s">
        <v>21</v>
      </c>
      <c r="E799" t="s">
        <v>114</v>
      </c>
      <c r="F799" t="s">
        <v>296</v>
      </c>
      <c r="G799">
        <v>54.933</v>
      </c>
      <c r="H799" s="9">
        <v>9</v>
      </c>
      <c r="J799" s="6">
        <f>IFERROR(Info_Camas[[#This Row],[Lineas]]/Info_Camas[[#This Row],[Cortinas]],"Pendiente")</f>
        <v>0</v>
      </c>
    </row>
    <row r="800" spans="1:10" x14ac:dyDescent="0.25">
      <c r="A800" t="str">
        <f>+_xlfn.CONCAT(Info_Camas[[#This Row],[Bloque]],Info_Camas[[#This Row],[Lado]],Info_Camas[[#This Row],[Cama]])</f>
        <v>04A116</v>
      </c>
      <c r="B800" t="s">
        <v>739</v>
      </c>
      <c r="C800" t="s">
        <v>30</v>
      </c>
      <c r="D800" t="s">
        <v>15</v>
      </c>
      <c r="E800" t="s">
        <v>114</v>
      </c>
      <c r="F800" t="s">
        <v>298</v>
      </c>
      <c r="G800">
        <v>54.933</v>
      </c>
      <c r="H800" s="9">
        <v>9</v>
      </c>
      <c r="J800" s="6">
        <f>IFERROR(Info_Camas[[#This Row],[Lineas]]/Info_Camas[[#This Row],[Cortinas]],"Pendiente")</f>
        <v>0</v>
      </c>
    </row>
    <row r="801" spans="1:10" x14ac:dyDescent="0.25">
      <c r="A801" t="str">
        <f>+_xlfn.CONCAT(Info_Camas[[#This Row],[Bloque]],Info_Camas[[#This Row],[Lado]],Info_Camas[[#This Row],[Cama]])</f>
        <v>04B116</v>
      </c>
      <c r="B801" t="s">
        <v>739</v>
      </c>
      <c r="C801" t="s">
        <v>30</v>
      </c>
      <c r="D801" t="s">
        <v>21</v>
      </c>
      <c r="E801" t="s">
        <v>114</v>
      </c>
      <c r="F801" t="s">
        <v>298</v>
      </c>
      <c r="G801">
        <v>54.933</v>
      </c>
      <c r="H801" s="9">
        <v>9</v>
      </c>
      <c r="J801" s="6">
        <f>IFERROR(Info_Camas[[#This Row],[Lineas]]/Info_Camas[[#This Row],[Cortinas]],"Pendiente")</f>
        <v>0</v>
      </c>
    </row>
    <row r="802" spans="1:10" hidden="1" x14ac:dyDescent="0.25">
      <c r="A802" t="str">
        <f>+_xlfn.CONCAT(Info_Camas[[#This Row],[Bloque]],Info_Camas[[#This Row],[Lado]],Info_Camas[[#This Row],[Cama]])</f>
        <v>05A001</v>
      </c>
      <c r="B802" t="s">
        <v>739</v>
      </c>
      <c r="C802" t="s">
        <v>34</v>
      </c>
      <c r="D802" t="s">
        <v>15</v>
      </c>
      <c r="E802" t="s">
        <v>14</v>
      </c>
      <c r="F802" t="s">
        <v>16</v>
      </c>
      <c r="G802">
        <v>52.04</v>
      </c>
      <c r="H802" s="9">
        <v>9</v>
      </c>
      <c r="I802" s="9">
        <v>181</v>
      </c>
      <c r="J802" s="6">
        <f>IFERROR(Info_Camas[[#This Row],[Lineas]]/Info_Camas[[#This Row],[Cortinas]],"Pendiente")</f>
        <v>20.111111111111111</v>
      </c>
    </row>
    <row r="803" spans="1:10" hidden="1" x14ac:dyDescent="0.25">
      <c r="A803" t="str">
        <f>+_xlfn.CONCAT(Info_Camas[[#This Row],[Bloque]],Info_Camas[[#This Row],[Lado]],Info_Camas[[#This Row],[Cama]])</f>
        <v>05B001</v>
      </c>
      <c r="B803" t="s">
        <v>739</v>
      </c>
      <c r="C803" t="s">
        <v>34</v>
      </c>
      <c r="D803" t="s">
        <v>21</v>
      </c>
      <c r="E803" t="s">
        <v>14</v>
      </c>
      <c r="F803" t="s">
        <v>16</v>
      </c>
      <c r="G803">
        <v>52.04</v>
      </c>
      <c r="H803" s="9">
        <v>9</v>
      </c>
      <c r="I803" s="9">
        <v>186</v>
      </c>
      <c r="J803" s="6">
        <f>IFERROR(Info_Camas[[#This Row],[Lineas]]/Info_Camas[[#This Row],[Cortinas]],"Pendiente")</f>
        <v>20.666666666666668</v>
      </c>
    </row>
    <row r="804" spans="1:10" hidden="1" x14ac:dyDescent="0.25">
      <c r="A804" t="str">
        <f>+_xlfn.CONCAT(Info_Camas[[#This Row],[Bloque]],Info_Camas[[#This Row],[Lado]],Info_Camas[[#This Row],[Cama]])</f>
        <v>05A002</v>
      </c>
      <c r="B804" t="s">
        <v>739</v>
      </c>
      <c r="C804" t="s">
        <v>34</v>
      </c>
      <c r="D804" t="s">
        <v>15</v>
      </c>
      <c r="E804" t="s">
        <v>14</v>
      </c>
      <c r="F804" t="s">
        <v>22</v>
      </c>
      <c r="G804">
        <v>52.04</v>
      </c>
      <c r="H804" s="9">
        <v>9</v>
      </c>
      <c r="I804" s="9">
        <v>185</v>
      </c>
      <c r="J804" s="6">
        <f>IFERROR(Info_Camas[[#This Row],[Lineas]]/Info_Camas[[#This Row],[Cortinas]],"Pendiente")</f>
        <v>20.555555555555557</v>
      </c>
    </row>
    <row r="805" spans="1:10" hidden="1" x14ac:dyDescent="0.25">
      <c r="A805" t="str">
        <f>+_xlfn.CONCAT(Info_Camas[[#This Row],[Bloque]],Info_Camas[[#This Row],[Lado]],Info_Camas[[#This Row],[Cama]])</f>
        <v>05B002</v>
      </c>
      <c r="B805" t="s">
        <v>739</v>
      </c>
      <c r="C805" t="s">
        <v>34</v>
      </c>
      <c r="D805" t="s">
        <v>21</v>
      </c>
      <c r="E805" t="s">
        <v>14</v>
      </c>
      <c r="F805" t="s">
        <v>22</v>
      </c>
      <c r="G805">
        <v>52.04</v>
      </c>
      <c r="H805" s="9">
        <v>9</v>
      </c>
      <c r="I805" s="9">
        <v>186</v>
      </c>
      <c r="J805" s="6">
        <f>IFERROR(Info_Camas[[#This Row],[Lineas]]/Info_Camas[[#This Row],[Cortinas]],"Pendiente")</f>
        <v>20.666666666666668</v>
      </c>
    </row>
    <row r="806" spans="1:10" hidden="1" x14ac:dyDescent="0.25">
      <c r="A806" t="str">
        <f>+_xlfn.CONCAT(Info_Camas[[#This Row],[Bloque]],Info_Camas[[#This Row],[Lado]],Info_Camas[[#This Row],[Cama]])</f>
        <v>05A003</v>
      </c>
      <c r="B806" t="s">
        <v>739</v>
      </c>
      <c r="C806" t="s">
        <v>34</v>
      </c>
      <c r="D806" t="s">
        <v>15</v>
      </c>
      <c r="E806" t="s">
        <v>14</v>
      </c>
      <c r="F806" t="s">
        <v>27</v>
      </c>
      <c r="G806">
        <v>52.04</v>
      </c>
      <c r="H806" s="9">
        <v>9</v>
      </c>
      <c r="I806" s="9">
        <v>186</v>
      </c>
      <c r="J806" s="6">
        <f>IFERROR(Info_Camas[[#This Row],[Lineas]]/Info_Camas[[#This Row],[Cortinas]],"Pendiente")</f>
        <v>20.666666666666668</v>
      </c>
    </row>
    <row r="807" spans="1:10" hidden="1" x14ac:dyDescent="0.25">
      <c r="A807" t="str">
        <f>+_xlfn.CONCAT(Info_Camas[[#This Row],[Bloque]],Info_Camas[[#This Row],[Lado]],Info_Camas[[#This Row],[Cama]])</f>
        <v>05B003</v>
      </c>
      <c r="B807" t="s">
        <v>739</v>
      </c>
      <c r="C807" t="s">
        <v>34</v>
      </c>
      <c r="D807" t="s">
        <v>21</v>
      </c>
      <c r="E807" t="s">
        <v>14</v>
      </c>
      <c r="F807" t="s">
        <v>27</v>
      </c>
      <c r="G807">
        <v>52.04</v>
      </c>
      <c r="H807" s="9">
        <v>9</v>
      </c>
      <c r="I807" s="9">
        <v>188</v>
      </c>
      <c r="J807" s="6">
        <f>IFERROR(Info_Camas[[#This Row],[Lineas]]/Info_Camas[[#This Row],[Cortinas]],"Pendiente")</f>
        <v>20.888888888888889</v>
      </c>
    </row>
    <row r="808" spans="1:10" hidden="1" x14ac:dyDescent="0.25">
      <c r="A808" t="str">
        <f>+_xlfn.CONCAT(Info_Camas[[#This Row],[Bloque]],Info_Camas[[#This Row],[Lado]],Info_Camas[[#This Row],[Cama]])</f>
        <v>05A004</v>
      </c>
      <c r="B808" t="s">
        <v>739</v>
      </c>
      <c r="C808" t="s">
        <v>34</v>
      </c>
      <c r="D808" t="s">
        <v>15</v>
      </c>
      <c r="E808" t="s">
        <v>14</v>
      </c>
      <c r="F808" t="s">
        <v>31</v>
      </c>
      <c r="G808">
        <v>34.693300000000001</v>
      </c>
      <c r="H808" s="9">
        <v>9</v>
      </c>
      <c r="I808" s="9">
        <v>186</v>
      </c>
      <c r="J808" s="6">
        <f>IFERROR(Info_Camas[[#This Row],[Lineas]]/Info_Camas[[#This Row],[Cortinas]],"Pendiente")</f>
        <v>20.666666666666668</v>
      </c>
    </row>
    <row r="809" spans="1:10" hidden="1" x14ac:dyDescent="0.25">
      <c r="A809" t="str">
        <f>+_xlfn.CONCAT(Info_Camas[[#This Row],[Bloque]],Info_Camas[[#This Row],[Lado]],Info_Camas[[#This Row],[Cama]])</f>
        <v>05B004</v>
      </c>
      <c r="B809" t="s">
        <v>739</v>
      </c>
      <c r="C809" t="s">
        <v>34</v>
      </c>
      <c r="D809" t="s">
        <v>21</v>
      </c>
      <c r="E809" t="s">
        <v>14</v>
      </c>
      <c r="F809" t="s">
        <v>31</v>
      </c>
      <c r="G809">
        <v>52.04</v>
      </c>
      <c r="H809" s="9">
        <v>9</v>
      </c>
      <c r="I809" s="9">
        <v>185</v>
      </c>
      <c r="J809" s="6">
        <f>IFERROR(Info_Camas[[#This Row],[Lineas]]/Info_Camas[[#This Row],[Cortinas]],"Pendiente")</f>
        <v>20.555555555555557</v>
      </c>
    </row>
    <row r="810" spans="1:10" hidden="1" x14ac:dyDescent="0.25">
      <c r="A810" t="str">
        <f>+_xlfn.CONCAT(Info_Camas[[#This Row],[Bloque]],Info_Camas[[#This Row],[Lado]],Info_Camas[[#This Row],[Cama]])</f>
        <v>05A005</v>
      </c>
      <c r="B810" t="s">
        <v>739</v>
      </c>
      <c r="C810" t="s">
        <v>34</v>
      </c>
      <c r="D810" t="s">
        <v>15</v>
      </c>
      <c r="E810" t="s">
        <v>20</v>
      </c>
      <c r="F810" t="s">
        <v>35</v>
      </c>
      <c r="G810">
        <v>23.125299999999999</v>
      </c>
      <c r="H810" s="9">
        <v>9</v>
      </c>
      <c r="I810" s="9">
        <v>188</v>
      </c>
      <c r="J810" s="6">
        <f>IFERROR(Info_Camas[[#This Row],[Lineas]]/Info_Camas[[#This Row],[Cortinas]],"Pendiente")</f>
        <v>20.888888888888889</v>
      </c>
    </row>
    <row r="811" spans="1:10" hidden="1" x14ac:dyDescent="0.25">
      <c r="A811" t="str">
        <f>+_xlfn.CONCAT(Info_Camas[[#This Row],[Bloque]],Info_Camas[[#This Row],[Lado]],Info_Camas[[#This Row],[Cama]])</f>
        <v>05B005</v>
      </c>
      <c r="B811" t="s">
        <v>739</v>
      </c>
      <c r="C811" t="s">
        <v>34</v>
      </c>
      <c r="D811" t="s">
        <v>21</v>
      </c>
      <c r="E811" t="s">
        <v>20</v>
      </c>
      <c r="F811" t="s">
        <v>35</v>
      </c>
      <c r="G811">
        <v>52.04</v>
      </c>
      <c r="H811" s="9">
        <v>9</v>
      </c>
      <c r="I811" s="9">
        <v>184</v>
      </c>
      <c r="J811" s="6">
        <f>IFERROR(Info_Camas[[#This Row],[Lineas]]/Info_Camas[[#This Row],[Cortinas]],"Pendiente")</f>
        <v>20.444444444444443</v>
      </c>
    </row>
    <row r="812" spans="1:10" hidden="1" x14ac:dyDescent="0.25">
      <c r="A812" t="str">
        <f>+_xlfn.CONCAT(Info_Camas[[#This Row],[Bloque]],Info_Camas[[#This Row],[Lado]],Info_Camas[[#This Row],[Cama]])</f>
        <v>05A006</v>
      </c>
      <c r="B812" t="s">
        <v>739</v>
      </c>
      <c r="C812" t="s">
        <v>34</v>
      </c>
      <c r="D812" t="s">
        <v>15</v>
      </c>
      <c r="E812" t="s">
        <v>20</v>
      </c>
      <c r="F812" t="s">
        <v>40</v>
      </c>
      <c r="G812">
        <v>52.04</v>
      </c>
      <c r="H812" s="9">
        <v>9</v>
      </c>
      <c r="I812" s="9">
        <v>186</v>
      </c>
      <c r="J812" s="6">
        <f>IFERROR(Info_Camas[[#This Row],[Lineas]]/Info_Camas[[#This Row],[Cortinas]],"Pendiente")</f>
        <v>20.666666666666668</v>
      </c>
    </row>
    <row r="813" spans="1:10" hidden="1" x14ac:dyDescent="0.25">
      <c r="A813" t="str">
        <f>+_xlfn.CONCAT(Info_Camas[[#This Row],[Bloque]],Info_Camas[[#This Row],[Lado]],Info_Camas[[#This Row],[Cama]])</f>
        <v>05B006</v>
      </c>
      <c r="B813" t="s">
        <v>739</v>
      </c>
      <c r="C813" t="s">
        <v>34</v>
      </c>
      <c r="D813" t="s">
        <v>21</v>
      </c>
      <c r="E813" t="s">
        <v>20</v>
      </c>
      <c r="F813" t="s">
        <v>40</v>
      </c>
      <c r="G813">
        <v>52.04</v>
      </c>
      <c r="H813" s="9">
        <v>9</v>
      </c>
      <c r="I813" s="9">
        <v>184</v>
      </c>
      <c r="J813" s="6">
        <f>IFERROR(Info_Camas[[#This Row],[Lineas]]/Info_Camas[[#This Row],[Cortinas]],"Pendiente")</f>
        <v>20.444444444444443</v>
      </c>
    </row>
    <row r="814" spans="1:10" hidden="1" x14ac:dyDescent="0.25">
      <c r="A814" t="str">
        <f>+_xlfn.CONCAT(Info_Camas[[#This Row],[Bloque]],Info_Camas[[#This Row],[Lado]],Info_Camas[[#This Row],[Cama]])</f>
        <v>05A007</v>
      </c>
      <c r="B814" t="s">
        <v>739</v>
      </c>
      <c r="C814" t="s">
        <v>34</v>
      </c>
      <c r="D814" t="s">
        <v>15</v>
      </c>
      <c r="E814" t="s">
        <v>20</v>
      </c>
      <c r="F814" t="s">
        <v>43</v>
      </c>
      <c r="G814">
        <v>52.04</v>
      </c>
      <c r="H814" s="9">
        <v>9</v>
      </c>
      <c r="I814" s="9">
        <v>185</v>
      </c>
      <c r="J814" s="6">
        <f>IFERROR(Info_Camas[[#This Row],[Lineas]]/Info_Camas[[#This Row],[Cortinas]],"Pendiente")</f>
        <v>20.555555555555557</v>
      </c>
    </row>
    <row r="815" spans="1:10" hidden="1" x14ac:dyDescent="0.25">
      <c r="A815" t="str">
        <f>+_xlfn.CONCAT(Info_Camas[[#This Row],[Bloque]],Info_Camas[[#This Row],[Lado]],Info_Camas[[#This Row],[Cama]])</f>
        <v>05B007</v>
      </c>
      <c r="B815" t="s">
        <v>739</v>
      </c>
      <c r="C815" t="s">
        <v>34</v>
      </c>
      <c r="D815" t="s">
        <v>21</v>
      </c>
      <c r="E815" t="s">
        <v>20</v>
      </c>
      <c r="F815" t="s">
        <v>43</v>
      </c>
      <c r="G815">
        <v>21.5061</v>
      </c>
      <c r="H815" s="9">
        <v>9</v>
      </c>
      <c r="I815" s="9">
        <v>187</v>
      </c>
      <c r="J815" s="6">
        <f>IFERROR(Info_Camas[[#This Row],[Lineas]]/Info_Camas[[#This Row],[Cortinas]],"Pendiente")</f>
        <v>20.777777777777779</v>
      </c>
    </row>
    <row r="816" spans="1:10" hidden="1" x14ac:dyDescent="0.25">
      <c r="A816" t="str">
        <f>+_xlfn.CONCAT(Info_Camas[[#This Row],[Bloque]],Info_Camas[[#This Row],[Lado]],Info_Camas[[#This Row],[Cama]])</f>
        <v>05A008</v>
      </c>
      <c r="B816" t="s">
        <v>739</v>
      </c>
      <c r="C816" t="s">
        <v>34</v>
      </c>
      <c r="D816" t="s">
        <v>15</v>
      </c>
      <c r="E816" t="s">
        <v>20</v>
      </c>
      <c r="F816" t="s">
        <v>48</v>
      </c>
      <c r="G816">
        <v>52.04</v>
      </c>
      <c r="H816" s="9">
        <v>9</v>
      </c>
      <c r="I816" s="9">
        <v>185</v>
      </c>
      <c r="J816" s="6">
        <f>IFERROR(Info_Camas[[#This Row],[Lineas]]/Info_Camas[[#This Row],[Cortinas]],"Pendiente")</f>
        <v>20.555555555555557</v>
      </c>
    </row>
    <row r="817" spans="1:10" hidden="1" x14ac:dyDescent="0.25">
      <c r="A817" t="str">
        <f>+_xlfn.CONCAT(Info_Camas[[#This Row],[Bloque]],Info_Camas[[#This Row],[Lado]],Info_Camas[[#This Row],[Cama]])</f>
        <v>05B008</v>
      </c>
      <c r="B817" t="s">
        <v>739</v>
      </c>
      <c r="C817" t="s">
        <v>34</v>
      </c>
      <c r="D817" t="s">
        <v>21</v>
      </c>
      <c r="E817" t="s">
        <v>20</v>
      </c>
      <c r="F817" t="s">
        <v>48</v>
      </c>
      <c r="G817">
        <v>52.04</v>
      </c>
      <c r="H817" s="9">
        <v>9</v>
      </c>
      <c r="I817" s="9">
        <v>183</v>
      </c>
      <c r="J817" s="6">
        <f>IFERROR(Info_Camas[[#This Row],[Lineas]]/Info_Camas[[#This Row],[Cortinas]],"Pendiente")</f>
        <v>20.333333333333332</v>
      </c>
    </row>
    <row r="818" spans="1:10" hidden="1" x14ac:dyDescent="0.25">
      <c r="A818" t="str">
        <f>+_xlfn.CONCAT(Info_Camas[[#This Row],[Bloque]],Info_Camas[[#This Row],[Lado]],Info_Camas[[#This Row],[Cama]])</f>
        <v>05A009</v>
      </c>
      <c r="B818" t="s">
        <v>739</v>
      </c>
      <c r="C818" t="s">
        <v>34</v>
      </c>
      <c r="D818" t="s">
        <v>15</v>
      </c>
      <c r="E818" t="s">
        <v>26</v>
      </c>
      <c r="F818" t="s">
        <v>52</v>
      </c>
      <c r="G818">
        <v>52.04</v>
      </c>
      <c r="H818" s="9">
        <v>9</v>
      </c>
      <c r="I818" s="9">
        <v>185</v>
      </c>
      <c r="J818" s="6">
        <f>IFERROR(Info_Camas[[#This Row],[Lineas]]/Info_Camas[[#This Row],[Cortinas]],"Pendiente")</f>
        <v>20.555555555555557</v>
      </c>
    </row>
    <row r="819" spans="1:10" hidden="1" x14ac:dyDescent="0.25">
      <c r="A819" t="str">
        <f>+_xlfn.CONCAT(Info_Camas[[#This Row],[Bloque]],Info_Camas[[#This Row],[Lado]],Info_Camas[[#This Row],[Cama]])</f>
        <v>05B009</v>
      </c>
      <c r="B819" t="s">
        <v>739</v>
      </c>
      <c r="C819" t="s">
        <v>34</v>
      </c>
      <c r="D819" t="s">
        <v>21</v>
      </c>
      <c r="E819" t="s">
        <v>26</v>
      </c>
      <c r="F819" t="s">
        <v>52</v>
      </c>
      <c r="G819">
        <v>52.04</v>
      </c>
      <c r="H819" s="9">
        <v>9</v>
      </c>
      <c r="I819" s="9">
        <v>185</v>
      </c>
      <c r="J819" s="6">
        <f>IFERROR(Info_Camas[[#This Row],[Lineas]]/Info_Camas[[#This Row],[Cortinas]],"Pendiente")</f>
        <v>20.555555555555557</v>
      </c>
    </row>
    <row r="820" spans="1:10" hidden="1" x14ac:dyDescent="0.25">
      <c r="A820" t="str">
        <f>+_xlfn.CONCAT(Info_Camas[[#This Row],[Bloque]],Info_Camas[[#This Row],[Lado]],Info_Camas[[#This Row],[Cama]])</f>
        <v>05A010</v>
      </c>
      <c r="B820" t="s">
        <v>739</v>
      </c>
      <c r="C820" t="s">
        <v>34</v>
      </c>
      <c r="D820" t="s">
        <v>15</v>
      </c>
      <c r="E820" t="s">
        <v>26</v>
      </c>
      <c r="F820" t="s">
        <v>55</v>
      </c>
      <c r="G820">
        <v>52.04</v>
      </c>
      <c r="H820" s="9">
        <v>9</v>
      </c>
      <c r="I820" s="9">
        <v>186</v>
      </c>
      <c r="J820" s="6">
        <f>IFERROR(Info_Camas[[#This Row],[Lineas]]/Info_Camas[[#This Row],[Cortinas]],"Pendiente")</f>
        <v>20.666666666666668</v>
      </c>
    </row>
    <row r="821" spans="1:10" hidden="1" x14ac:dyDescent="0.25">
      <c r="A821" t="str">
        <f>+_xlfn.CONCAT(Info_Camas[[#This Row],[Bloque]],Info_Camas[[#This Row],[Lado]],Info_Camas[[#This Row],[Cama]])</f>
        <v>05B010</v>
      </c>
      <c r="B821" t="s">
        <v>739</v>
      </c>
      <c r="C821" t="s">
        <v>34</v>
      </c>
      <c r="D821" t="s">
        <v>21</v>
      </c>
      <c r="E821" t="s">
        <v>26</v>
      </c>
      <c r="F821" t="s">
        <v>55</v>
      </c>
      <c r="G821">
        <v>52.04</v>
      </c>
      <c r="H821" s="9">
        <v>9</v>
      </c>
      <c r="I821" s="9">
        <v>185</v>
      </c>
      <c r="J821" s="6">
        <f>IFERROR(Info_Camas[[#This Row],[Lineas]]/Info_Camas[[#This Row],[Cortinas]],"Pendiente")</f>
        <v>20.555555555555557</v>
      </c>
    </row>
    <row r="822" spans="1:10" hidden="1" x14ac:dyDescent="0.25">
      <c r="A822" t="str">
        <f>+_xlfn.CONCAT(Info_Camas[[#This Row],[Bloque]],Info_Camas[[#This Row],[Lado]],Info_Camas[[#This Row],[Cama]])</f>
        <v>05A011</v>
      </c>
      <c r="B822" t="s">
        <v>739</v>
      </c>
      <c r="C822" t="s">
        <v>34</v>
      </c>
      <c r="D822" t="s">
        <v>15</v>
      </c>
      <c r="E822" t="s">
        <v>26</v>
      </c>
      <c r="F822" t="s">
        <v>58</v>
      </c>
      <c r="G822">
        <v>52.04</v>
      </c>
      <c r="H822" s="9">
        <v>9</v>
      </c>
      <c r="I822" s="9">
        <v>187</v>
      </c>
      <c r="J822" s="6">
        <f>IFERROR(Info_Camas[[#This Row],[Lineas]]/Info_Camas[[#This Row],[Cortinas]],"Pendiente")</f>
        <v>20.777777777777779</v>
      </c>
    </row>
    <row r="823" spans="1:10" hidden="1" x14ac:dyDescent="0.25">
      <c r="A823" t="str">
        <f>+_xlfn.CONCAT(Info_Camas[[#This Row],[Bloque]],Info_Camas[[#This Row],[Lado]],Info_Camas[[#This Row],[Cama]])</f>
        <v>05B011</v>
      </c>
      <c r="B823" t="s">
        <v>739</v>
      </c>
      <c r="C823" t="s">
        <v>34</v>
      </c>
      <c r="D823" t="s">
        <v>21</v>
      </c>
      <c r="E823" t="s">
        <v>26</v>
      </c>
      <c r="F823" t="s">
        <v>58</v>
      </c>
      <c r="G823">
        <v>52.04</v>
      </c>
      <c r="H823" s="9">
        <v>9</v>
      </c>
      <c r="I823" s="9">
        <v>183</v>
      </c>
      <c r="J823" s="6">
        <f>IFERROR(Info_Camas[[#This Row],[Lineas]]/Info_Camas[[#This Row],[Cortinas]],"Pendiente")</f>
        <v>20.333333333333332</v>
      </c>
    </row>
    <row r="824" spans="1:10" hidden="1" x14ac:dyDescent="0.25">
      <c r="A824" t="str">
        <f>+_xlfn.CONCAT(Info_Camas[[#This Row],[Bloque]],Info_Camas[[#This Row],[Lado]],Info_Camas[[#This Row],[Cama]])</f>
        <v>05A012</v>
      </c>
      <c r="B824" t="s">
        <v>739</v>
      </c>
      <c r="C824" t="s">
        <v>34</v>
      </c>
      <c r="D824" t="s">
        <v>15</v>
      </c>
      <c r="E824" t="s">
        <v>26</v>
      </c>
      <c r="F824" t="s">
        <v>62</v>
      </c>
      <c r="G824">
        <v>52.04</v>
      </c>
      <c r="H824" s="9">
        <v>9</v>
      </c>
      <c r="I824" s="9">
        <v>184</v>
      </c>
      <c r="J824" s="6">
        <f>IFERROR(Info_Camas[[#This Row],[Lineas]]/Info_Camas[[#This Row],[Cortinas]],"Pendiente")</f>
        <v>20.444444444444443</v>
      </c>
    </row>
    <row r="825" spans="1:10" hidden="1" x14ac:dyDescent="0.25">
      <c r="A825" t="str">
        <f>+_xlfn.CONCAT(Info_Camas[[#This Row],[Bloque]],Info_Camas[[#This Row],[Lado]],Info_Camas[[#This Row],[Cama]])</f>
        <v>05B012</v>
      </c>
      <c r="B825" t="s">
        <v>739</v>
      </c>
      <c r="C825" t="s">
        <v>34</v>
      </c>
      <c r="D825" t="s">
        <v>21</v>
      </c>
      <c r="E825" t="s">
        <v>26</v>
      </c>
      <c r="F825" t="s">
        <v>62</v>
      </c>
      <c r="G825">
        <v>26.02</v>
      </c>
      <c r="H825" s="9">
        <v>9</v>
      </c>
      <c r="I825" s="9">
        <v>187</v>
      </c>
      <c r="J825" s="6">
        <f>IFERROR(Info_Camas[[#This Row],[Lineas]]/Info_Camas[[#This Row],[Cortinas]],"Pendiente")</f>
        <v>20.777777777777779</v>
      </c>
    </row>
    <row r="826" spans="1:10" hidden="1" x14ac:dyDescent="0.25">
      <c r="A826" t="str">
        <f>+_xlfn.CONCAT(Info_Camas[[#This Row],[Bloque]],Info_Camas[[#This Row],[Lado]],Info_Camas[[#This Row],[Cama]])</f>
        <v>05A013</v>
      </c>
      <c r="B826" t="s">
        <v>739</v>
      </c>
      <c r="C826" t="s">
        <v>34</v>
      </c>
      <c r="D826" t="s">
        <v>15</v>
      </c>
      <c r="E826" t="s">
        <v>30</v>
      </c>
      <c r="F826" t="s">
        <v>65</v>
      </c>
      <c r="G826">
        <v>52.04</v>
      </c>
      <c r="H826" s="9">
        <v>9</v>
      </c>
      <c r="I826" s="9">
        <v>185</v>
      </c>
      <c r="J826" s="6">
        <f>IFERROR(Info_Camas[[#This Row],[Lineas]]/Info_Camas[[#This Row],[Cortinas]],"Pendiente")</f>
        <v>20.555555555555557</v>
      </c>
    </row>
    <row r="827" spans="1:10" hidden="1" x14ac:dyDescent="0.25">
      <c r="A827" t="str">
        <f>+_xlfn.CONCAT(Info_Camas[[#This Row],[Bloque]],Info_Camas[[#This Row],[Lado]],Info_Camas[[#This Row],[Cama]])</f>
        <v>05B013</v>
      </c>
      <c r="B827" t="s">
        <v>739</v>
      </c>
      <c r="C827" t="s">
        <v>34</v>
      </c>
      <c r="D827" t="s">
        <v>21</v>
      </c>
      <c r="E827" t="s">
        <v>30</v>
      </c>
      <c r="F827" t="s">
        <v>65</v>
      </c>
      <c r="G827">
        <v>52.04</v>
      </c>
      <c r="H827" s="9">
        <v>9</v>
      </c>
      <c r="I827" s="9">
        <v>182</v>
      </c>
      <c r="J827" s="6">
        <f>IFERROR(Info_Camas[[#This Row],[Lineas]]/Info_Camas[[#This Row],[Cortinas]],"Pendiente")</f>
        <v>20.222222222222221</v>
      </c>
    </row>
    <row r="828" spans="1:10" hidden="1" x14ac:dyDescent="0.25">
      <c r="A828" t="str">
        <f>+_xlfn.CONCAT(Info_Camas[[#This Row],[Bloque]],Info_Camas[[#This Row],[Lado]],Info_Camas[[#This Row],[Cama]])</f>
        <v>05A014</v>
      </c>
      <c r="B828" t="s">
        <v>739</v>
      </c>
      <c r="C828" t="s">
        <v>34</v>
      </c>
      <c r="D828" t="s">
        <v>15</v>
      </c>
      <c r="E828" t="s">
        <v>30</v>
      </c>
      <c r="F828" t="s">
        <v>68</v>
      </c>
      <c r="G828">
        <v>52.04</v>
      </c>
      <c r="H828" s="9">
        <v>9</v>
      </c>
      <c r="I828" s="9">
        <v>185</v>
      </c>
      <c r="J828" s="6">
        <f>IFERROR(Info_Camas[[#This Row],[Lineas]]/Info_Camas[[#This Row],[Cortinas]],"Pendiente")</f>
        <v>20.555555555555557</v>
      </c>
    </row>
    <row r="829" spans="1:10" hidden="1" x14ac:dyDescent="0.25">
      <c r="A829" t="str">
        <f>+_xlfn.CONCAT(Info_Camas[[#This Row],[Bloque]],Info_Camas[[#This Row],[Lado]],Info_Camas[[#This Row],[Cama]])</f>
        <v>05B014</v>
      </c>
      <c r="B829" t="s">
        <v>739</v>
      </c>
      <c r="C829" t="s">
        <v>34</v>
      </c>
      <c r="D829" t="s">
        <v>21</v>
      </c>
      <c r="E829" t="s">
        <v>30</v>
      </c>
      <c r="F829" t="s">
        <v>68</v>
      </c>
      <c r="G829">
        <v>52.04</v>
      </c>
      <c r="H829" s="9">
        <v>9</v>
      </c>
      <c r="I829" s="9">
        <v>187</v>
      </c>
      <c r="J829" s="6">
        <f>IFERROR(Info_Camas[[#This Row],[Lineas]]/Info_Camas[[#This Row],[Cortinas]],"Pendiente")</f>
        <v>20.777777777777779</v>
      </c>
    </row>
    <row r="830" spans="1:10" hidden="1" x14ac:dyDescent="0.25">
      <c r="A830" t="str">
        <f>+_xlfn.CONCAT(Info_Camas[[#This Row],[Bloque]],Info_Camas[[#This Row],[Lado]],Info_Camas[[#This Row],[Cama]])</f>
        <v>05A015</v>
      </c>
      <c r="B830" t="s">
        <v>739</v>
      </c>
      <c r="C830" t="s">
        <v>34</v>
      </c>
      <c r="D830" t="s">
        <v>15</v>
      </c>
      <c r="E830" t="s">
        <v>30</v>
      </c>
      <c r="F830" t="s">
        <v>72</v>
      </c>
      <c r="G830">
        <v>52.04</v>
      </c>
      <c r="H830" s="9">
        <v>9</v>
      </c>
      <c r="I830" s="9">
        <v>185</v>
      </c>
      <c r="J830" s="6">
        <f>IFERROR(Info_Camas[[#This Row],[Lineas]]/Info_Camas[[#This Row],[Cortinas]],"Pendiente")</f>
        <v>20.555555555555557</v>
      </c>
    </row>
    <row r="831" spans="1:10" hidden="1" x14ac:dyDescent="0.25">
      <c r="A831" t="str">
        <f>+_xlfn.CONCAT(Info_Camas[[#This Row],[Bloque]],Info_Camas[[#This Row],[Lado]],Info_Camas[[#This Row],[Cama]])</f>
        <v>05B015</v>
      </c>
      <c r="B831" t="s">
        <v>739</v>
      </c>
      <c r="C831" t="s">
        <v>34</v>
      </c>
      <c r="D831" t="s">
        <v>21</v>
      </c>
      <c r="E831" t="s">
        <v>30</v>
      </c>
      <c r="F831" t="s">
        <v>72</v>
      </c>
      <c r="G831">
        <v>52.04</v>
      </c>
      <c r="H831" s="9">
        <v>9</v>
      </c>
      <c r="I831" s="9">
        <v>183</v>
      </c>
      <c r="J831" s="6">
        <f>IFERROR(Info_Camas[[#This Row],[Lineas]]/Info_Camas[[#This Row],[Cortinas]],"Pendiente")</f>
        <v>20.333333333333332</v>
      </c>
    </row>
    <row r="832" spans="1:10" hidden="1" x14ac:dyDescent="0.25">
      <c r="A832" t="str">
        <f>+_xlfn.CONCAT(Info_Camas[[#This Row],[Bloque]],Info_Camas[[#This Row],[Lado]],Info_Camas[[#This Row],[Cama]])</f>
        <v>05A016</v>
      </c>
      <c r="B832" t="s">
        <v>739</v>
      </c>
      <c r="C832" t="s">
        <v>34</v>
      </c>
      <c r="D832" t="s">
        <v>15</v>
      </c>
      <c r="E832" t="s">
        <v>30</v>
      </c>
      <c r="F832" t="s">
        <v>75</v>
      </c>
      <c r="G832">
        <v>5.7809999999999997</v>
      </c>
      <c r="H832" s="9">
        <v>9</v>
      </c>
      <c r="I832" s="9">
        <v>185</v>
      </c>
      <c r="J832" s="6">
        <f>IFERROR(Info_Camas[[#This Row],[Lineas]]/Info_Camas[[#This Row],[Cortinas]],"Pendiente")</f>
        <v>20.555555555555557</v>
      </c>
    </row>
    <row r="833" spans="1:10" hidden="1" x14ac:dyDescent="0.25">
      <c r="A833" t="str">
        <f>+_xlfn.CONCAT(Info_Camas[[#This Row],[Bloque]],Info_Camas[[#This Row],[Lado]],Info_Camas[[#This Row],[Cama]])</f>
        <v>05B016</v>
      </c>
      <c r="B833" t="s">
        <v>739</v>
      </c>
      <c r="C833" t="s">
        <v>34</v>
      </c>
      <c r="D833" t="s">
        <v>21</v>
      </c>
      <c r="E833" t="s">
        <v>30</v>
      </c>
      <c r="F833" t="s">
        <v>75</v>
      </c>
      <c r="G833">
        <v>52.04</v>
      </c>
      <c r="H833" s="9">
        <v>9</v>
      </c>
      <c r="I833" s="9">
        <v>186</v>
      </c>
      <c r="J833" s="6">
        <f>IFERROR(Info_Camas[[#This Row],[Lineas]]/Info_Camas[[#This Row],[Cortinas]],"Pendiente")</f>
        <v>20.666666666666668</v>
      </c>
    </row>
    <row r="834" spans="1:10" hidden="1" x14ac:dyDescent="0.25">
      <c r="A834" t="str">
        <f>+_xlfn.CONCAT(Info_Camas[[#This Row],[Bloque]],Info_Camas[[#This Row],[Lado]],Info_Camas[[#This Row],[Cama]])</f>
        <v>05A017</v>
      </c>
      <c r="B834" t="s">
        <v>739</v>
      </c>
      <c r="C834" t="s">
        <v>34</v>
      </c>
      <c r="D834" t="s">
        <v>15</v>
      </c>
      <c r="E834" t="s">
        <v>34</v>
      </c>
      <c r="F834" t="s">
        <v>78</v>
      </c>
      <c r="G834">
        <v>52.04</v>
      </c>
      <c r="H834" s="9">
        <v>9</v>
      </c>
      <c r="I834" s="9">
        <v>184</v>
      </c>
      <c r="J834" s="6">
        <f>IFERROR(Info_Camas[[#This Row],[Lineas]]/Info_Camas[[#This Row],[Cortinas]],"Pendiente")</f>
        <v>20.444444444444443</v>
      </c>
    </row>
    <row r="835" spans="1:10" hidden="1" x14ac:dyDescent="0.25">
      <c r="A835" t="str">
        <f>+_xlfn.CONCAT(Info_Camas[[#This Row],[Bloque]],Info_Camas[[#This Row],[Lado]],Info_Camas[[#This Row],[Cama]])</f>
        <v>05B017</v>
      </c>
      <c r="B835" t="s">
        <v>739</v>
      </c>
      <c r="C835" t="s">
        <v>34</v>
      </c>
      <c r="D835" t="s">
        <v>21</v>
      </c>
      <c r="E835" t="s">
        <v>34</v>
      </c>
      <c r="F835" t="s">
        <v>78</v>
      </c>
      <c r="G835">
        <v>52.04</v>
      </c>
      <c r="H835" s="9">
        <v>9</v>
      </c>
      <c r="I835" s="9">
        <v>182</v>
      </c>
      <c r="J835" s="6">
        <f>IFERROR(Info_Camas[[#This Row],[Lineas]]/Info_Camas[[#This Row],[Cortinas]],"Pendiente")</f>
        <v>20.222222222222221</v>
      </c>
    </row>
    <row r="836" spans="1:10" hidden="1" x14ac:dyDescent="0.25">
      <c r="A836" t="str">
        <f>+_xlfn.CONCAT(Info_Camas[[#This Row],[Bloque]],Info_Camas[[#This Row],[Lado]],Info_Camas[[#This Row],[Cama]])</f>
        <v>05A018</v>
      </c>
      <c r="B836" t="s">
        <v>739</v>
      </c>
      <c r="C836" t="s">
        <v>34</v>
      </c>
      <c r="D836" t="s">
        <v>15</v>
      </c>
      <c r="E836" t="s">
        <v>34</v>
      </c>
      <c r="F836" t="s">
        <v>81</v>
      </c>
      <c r="G836">
        <v>52.04</v>
      </c>
      <c r="H836" s="9">
        <v>9</v>
      </c>
      <c r="I836" s="9">
        <v>184</v>
      </c>
      <c r="J836" s="6">
        <f>IFERROR(Info_Camas[[#This Row],[Lineas]]/Info_Camas[[#This Row],[Cortinas]],"Pendiente")</f>
        <v>20.444444444444443</v>
      </c>
    </row>
    <row r="837" spans="1:10" hidden="1" x14ac:dyDescent="0.25">
      <c r="A837" t="str">
        <f>+_xlfn.CONCAT(Info_Camas[[#This Row],[Bloque]],Info_Camas[[#This Row],[Lado]],Info_Camas[[#This Row],[Cama]])</f>
        <v>05B018</v>
      </c>
      <c r="B837" t="s">
        <v>739</v>
      </c>
      <c r="C837" t="s">
        <v>34</v>
      </c>
      <c r="D837" t="s">
        <v>21</v>
      </c>
      <c r="E837" t="s">
        <v>34</v>
      </c>
      <c r="F837" t="s">
        <v>81</v>
      </c>
      <c r="G837">
        <v>52.04</v>
      </c>
      <c r="H837" s="9">
        <v>9</v>
      </c>
      <c r="I837" s="9">
        <v>182</v>
      </c>
      <c r="J837" s="6">
        <f>IFERROR(Info_Camas[[#This Row],[Lineas]]/Info_Camas[[#This Row],[Cortinas]],"Pendiente")</f>
        <v>20.222222222222221</v>
      </c>
    </row>
    <row r="838" spans="1:10" hidden="1" x14ac:dyDescent="0.25">
      <c r="A838" t="str">
        <f>+_xlfn.CONCAT(Info_Camas[[#This Row],[Bloque]],Info_Camas[[#This Row],[Lado]],Info_Camas[[#This Row],[Cama]])</f>
        <v>05A019</v>
      </c>
      <c r="B838" t="s">
        <v>739</v>
      </c>
      <c r="C838" t="s">
        <v>34</v>
      </c>
      <c r="D838" t="s">
        <v>15</v>
      </c>
      <c r="E838" t="s">
        <v>34</v>
      </c>
      <c r="F838" t="s">
        <v>84</v>
      </c>
      <c r="G838">
        <v>52.04</v>
      </c>
      <c r="H838" s="9">
        <v>9</v>
      </c>
      <c r="I838" s="9">
        <v>184</v>
      </c>
      <c r="J838" s="6">
        <f>IFERROR(Info_Camas[[#This Row],[Lineas]]/Info_Camas[[#This Row],[Cortinas]],"Pendiente")</f>
        <v>20.444444444444443</v>
      </c>
    </row>
    <row r="839" spans="1:10" hidden="1" x14ac:dyDescent="0.25">
      <c r="A839" t="str">
        <f>+_xlfn.CONCAT(Info_Camas[[#This Row],[Bloque]],Info_Camas[[#This Row],[Lado]],Info_Camas[[#This Row],[Cama]])</f>
        <v>05B019</v>
      </c>
      <c r="B839" t="s">
        <v>739</v>
      </c>
      <c r="C839" t="s">
        <v>34</v>
      </c>
      <c r="D839" t="s">
        <v>21</v>
      </c>
      <c r="E839" t="s">
        <v>34</v>
      </c>
      <c r="F839" t="s">
        <v>84</v>
      </c>
      <c r="G839">
        <v>52.04</v>
      </c>
      <c r="H839" s="9">
        <v>9</v>
      </c>
      <c r="I839" s="9">
        <v>184</v>
      </c>
      <c r="J839" s="6">
        <f>IFERROR(Info_Camas[[#This Row],[Lineas]]/Info_Camas[[#This Row],[Cortinas]],"Pendiente")</f>
        <v>20.444444444444443</v>
      </c>
    </row>
    <row r="840" spans="1:10" hidden="1" x14ac:dyDescent="0.25">
      <c r="A840" t="str">
        <f>+_xlfn.CONCAT(Info_Camas[[#This Row],[Bloque]],Info_Camas[[#This Row],[Lado]],Info_Camas[[#This Row],[Cama]])</f>
        <v>05A020</v>
      </c>
      <c r="B840" t="s">
        <v>739</v>
      </c>
      <c r="C840" t="s">
        <v>34</v>
      </c>
      <c r="D840" t="s">
        <v>15</v>
      </c>
      <c r="E840" t="s">
        <v>34</v>
      </c>
      <c r="F840" t="s">
        <v>87</v>
      </c>
      <c r="G840">
        <v>52.04</v>
      </c>
      <c r="H840" s="9">
        <v>9</v>
      </c>
      <c r="I840" s="9">
        <v>184</v>
      </c>
      <c r="J840" s="6">
        <f>IFERROR(Info_Camas[[#This Row],[Lineas]]/Info_Camas[[#This Row],[Cortinas]],"Pendiente")</f>
        <v>20.444444444444443</v>
      </c>
    </row>
    <row r="841" spans="1:10" hidden="1" x14ac:dyDescent="0.25">
      <c r="A841" t="str">
        <f>+_xlfn.CONCAT(Info_Camas[[#This Row],[Bloque]],Info_Camas[[#This Row],[Lado]],Info_Camas[[#This Row],[Cama]])</f>
        <v>05B020</v>
      </c>
      <c r="B841" t="s">
        <v>739</v>
      </c>
      <c r="C841" t="s">
        <v>34</v>
      </c>
      <c r="D841" t="s">
        <v>21</v>
      </c>
      <c r="E841" t="s">
        <v>34</v>
      </c>
      <c r="F841" t="s">
        <v>87</v>
      </c>
      <c r="G841">
        <v>52.04</v>
      </c>
      <c r="H841" s="9">
        <v>9</v>
      </c>
      <c r="I841" s="9">
        <v>183</v>
      </c>
      <c r="J841" s="6">
        <f>IFERROR(Info_Camas[[#This Row],[Lineas]]/Info_Camas[[#This Row],[Cortinas]],"Pendiente")</f>
        <v>20.333333333333332</v>
      </c>
    </row>
    <row r="842" spans="1:10" hidden="1" x14ac:dyDescent="0.25">
      <c r="A842" t="str">
        <f>+_xlfn.CONCAT(Info_Camas[[#This Row],[Bloque]],Info_Camas[[#This Row],[Lado]],Info_Camas[[#This Row],[Cama]])</f>
        <v>05A021</v>
      </c>
      <c r="B842" t="s">
        <v>739</v>
      </c>
      <c r="C842" t="s">
        <v>34</v>
      </c>
      <c r="D842" t="s">
        <v>15</v>
      </c>
      <c r="E842" t="s">
        <v>39</v>
      </c>
      <c r="F842" t="s">
        <v>90</v>
      </c>
      <c r="G842">
        <v>52.04</v>
      </c>
      <c r="H842" s="9">
        <v>9</v>
      </c>
      <c r="I842" s="9">
        <v>183</v>
      </c>
      <c r="J842" s="6">
        <f>IFERROR(Info_Camas[[#This Row],[Lineas]]/Info_Camas[[#This Row],[Cortinas]],"Pendiente")</f>
        <v>20.333333333333332</v>
      </c>
    </row>
    <row r="843" spans="1:10" hidden="1" x14ac:dyDescent="0.25">
      <c r="A843" t="str">
        <f>+_xlfn.CONCAT(Info_Camas[[#This Row],[Bloque]],Info_Camas[[#This Row],[Lado]],Info_Camas[[#This Row],[Cama]])</f>
        <v>05B021</v>
      </c>
      <c r="B843" t="s">
        <v>739</v>
      </c>
      <c r="C843" t="s">
        <v>34</v>
      </c>
      <c r="D843" t="s">
        <v>21</v>
      </c>
      <c r="E843" t="s">
        <v>39</v>
      </c>
      <c r="F843" t="s">
        <v>90</v>
      </c>
      <c r="G843">
        <v>52.04</v>
      </c>
      <c r="H843" s="9">
        <v>9</v>
      </c>
      <c r="I843" s="9">
        <v>175</v>
      </c>
      <c r="J843" s="6">
        <f>IFERROR(Info_Camas[[#This Row],[Lineas]]/Info_Camas[[#This Row],[Cortinas]],"Pendiente")</f>
        <v>19.444444444444443</v>
      </c>
    </row>
    <row r="844" spans="1:10" hidden="1" x14ac:dyDescent="0.25">
      <c r="A844" t="str">
        <f>+_xlfn.CONCAT(Info_Camas[[#This Row],[Bloque]],Info_Camas[[#This Row],[Lado]],Info_Camas[[#This Row],[Cama]])</f>
        <v>05A022</v>
      </c>
      <c r="B844" t="s">
        <v>739</v>
      </c>
      <c r="C844" t="s">
        <v>34</v>
      </c>
      <c r="D844" t="s">
        <v>15</v>
      </c>
      <c r="E844" t="s">
        <v>39</v>
      </c>
      <c r="F844" t="s">
        <v>94</v>
      </c>
      <c r="G844">
        <v>52.04</v>
      </c>
      <c r="H844" s="9">
        <v>9</v>
      </c>
      <c r="I844" s="9">
        <v>185</v>
      </c>
      <c r="J844" s="6">
        <f>IFERROR(Info_Camas[[#This Row],[Lineas]]/Info_Camas[[#This Row],[Cortinas]],"Pendiente")</f>
        <v>20.555555555555557</v>
      </c>
    </row>
    <row r="845" spans="1:10" hidden="1" x14ac:dyDescent="0.25">
      <c r="A845" t="str">
        <f>+_xlfn.CONCAT(Info_Camas[[#This Row],[Bloque]],Info_Camas[[#This Row],[Lado]],Info_Camas[[#This Row],[Cama]])</f>
        <v>05B022</v>
      </c>
      <c r="B845" t="s">
        <v>739</v>
      </c>
      <c r="C845" t="s">
        <v>34</v>
      </c>
      <c r="D845" t="s">
        <v>21</v>
      </c>
      <c r="E845" t="s">
        <v>39</v>
      </c>
      <c r="F845" t="s">
        <v>94</v>
      </c>
      <c r="G845">
        <v>52.04</v>
      </c>
      <c r="H845" s="9">
        <v>9</v>
      </c>
      <c r="I845" s="9">
        <v>175</v>
      </c>
      <c r="J845" s="6">
        <f>IFERROR(Info_Camas[[#This Row],[Lineas]]/Info_Camas[[#This Row],[Cortinas]],"Pendiente")</f>
        <v>19.444444444444443</v>
      </c>
    </row>
    <row r="846" spans="1:10" hidden="1" x14ac:dyDescent="0.25">
      <c r="A846" t="str">
        <f>+_xlfn.CONCAT(Info_Camas[[#This Row],[Bloque]],Info_Camas[[#This Row],[Lado]],Info_Camas[[#This Row],[Cama]])</f>
        <v>05A023</v>
      </c>
      <c r="B846" t="s">
        <v>739</v>
      </c>
      <c r="C846" t="s">
        <v>34</v>
      </c>
      <c r="D846" t="s">
        <v>15</v>
      </c>
      <c r="E846" t="s">
        <v>39</v>
      </c>
      <c r="F846" t="s">
        <v>97</v>
      </c>
      <c r="G846">
        <v>43.366700000000002</v>
      </c>
      <c r="H846" s="9">
        <v>9</v>
      </c>
      <c r="I846" s="9">
        <v>185</v>
      </c>
      <c r="J846" s="6">
        <f>IFERROR(Info_Camas[[#This Row],[Lineas]]/Info_Camas[[#This Row],[Cortinas]],"Pendiente")</f>
        <v>20.555555555555557</v>
      </c>
    </row>
    <row r="847" spans="1:10" hidden="1" x14ac:dyDescent="0.25">
      <c r="A847" t="str">
        <f>+_xlfn.CONCAT(Info_Camas[[#This Row],[Bloque]],Info_Camas[[#This Row],[Lado]],Info_Camas[[#This Row],[Cama]])</f>
        <v>05B023</v>
      </c>
      <c r="B847" t="s">
        <v>739</v>
      </c>
      <c r="C847" t="s">
        <v>34</v>
      </c>
      <c r="D847" t="s">
        <v>21</v>
      </c>
      <c r="E847" t="s">
        <v>39</v>
      </c>
      <c r="F847" t="s">
        <v>97</v>
      </c>
      <c r="G847">
        <v>52.04</v>
      </c>
      <c r="H847" s="9">
        <v>9</v>
      </c>
      <c r="I847" s="9">
        <v>174</v>
      </c>
      <c r="J847" s="6">
        <f>IFERROR(Info_Camas[[#This Row],[Lineas]]/Info_Camas[[#This Row],[Cortinas]],"Pendiente")</f>
        <v>19.333333333333332</v>
      </c>
    </row>
    <row r="848" spans="1:10" hidden="1" x14ac:dyDescent="0.25">
      <c r="A848" t="str">
        <f>+_xlfn.CONCAT(Info_Camas[[#This Row],[Bloque]],Info_Camas[[#This Row],[Lado]],Info_Camas[[#This Row],[Cama]])</f>
        <v>05A024</v>
      </c>
      <c r="B848" t="s">
        <v>739</v>
      </c>
      <c r="C848" t="s">
        <v>34</v>
      </c>
      <c r="D848" t="s">
        <v>15</v>
      </c>
      <c r="E848" t="s">
        <v>39</v>
      </c>
      <c r="F848" t="s">
        <v>100</v>
      </c>
      <c r="G848">
        <v>52.04</v>
      </c>
      <c r="H848" s="9">
        <v>9</v>
      </c>
      <c r="I848" s="9">
        <v>184</v>
      </c>
      <c r="J848" s="6">
        <f>IFERROR(Info_Camas[[#This Row],[Lineas]]/Info_Camas[[#This Row],[Cortinas]],"Pendiente")</f>
        <v>20.444444444444443</v>
      </c>
    </row>
    <row r="849" spans="1:10" hidden="1" x14ac:dyDescent="0.25">
      <c r="A849" t="str">
        <f>+_xlfn.CONCAT(Info_Camas[[#This Row],[Bloque]],Info_Camas[[#This Row],[Lado]],Info_Camas[[#This Row],[Cama]])</f>
        <v>05B024</v>
      </c>
      <c r="B849" t="s">
        <v>739</v>
      </c>
      <c r="C849" t="s">
        <v>34</v>
      </c>
      <c r="D849" t="s">
        <v>21</v>
      </c>
      <c r="E849" t="s">
        <v>39</v>
      </c>
      <c r="F849" t="s">
        <v>100</v>
      </c>
      <c r="G849">
        <v>52.04</v>
      </c>
      <c r="H849" s="9">
        <v>9</v>
      </c>
      <c r="I849" s="9">
        <v>175</v>
      </c>
      <c r="J849" s="6">
        <f>IFERROR(Info_Camas[[#This Row],[Lineas]]/Info_Camas[[#This Row],[Cortinas]],"Pendiente")</f>
        <v>19.444444444444443</v>
      </c>
    </row>
    <row r="850" spans="1:10" hidden="1" x14ac:dyDescent="0.25">
      <c r="A850" t="str">
        <f>+_xlfn.CONCAT(Info_Camas[[#This Row],[Bloque]],Info_Camas[[#This Row],[Lado]],Info_Camas[[#This Row],[Cama]])</f>
        <v>05A025</v>
      </c>
      <c r="B850" t="s">
        <v>739</v>
      </c>
      <c r="C850" t="s">
        <v>34</v>
      </c>
      <c r="D850" t="s">
        <v>15</v>
      </c>
      <c r="E850" t="s">
        <v>42</v>
      </c>
      <c r="F850" t="s">
        <v>103</v>
      </c>
      <c r="G850">
        <v>52.04</v>
      </c>
      <c r="H850" s="9">
        <v>9</v>
      </c>
      <c r="I850" s="9">
        <v>184</v>
      </c>
      <c r="J850" s="6">
        <f>IFERROR(Info_Camas[[#This Row],[Lineas]]/Info_Camas[[#This Row],[Cortinas]],"Pendiente")</f>
        <v>20.444444444444443</v>
      </c>
    </row>
    <row r="851" spans="1:10" hidden="1" x14ac:dyDescent="0.25">
      <c r="A851" t="str">
        <f>+_xlfn.CONCAT(Info_Camas[[#This Row],[Bloque]],Info_Camas[[#This Row],[Lado]],Info_Camas[[#This Row],[Cama]])</f>
        <v>05B025</v>
      </c>
      <c r="B851" t="s">
        <v>739</v>
      </c>
      <c r="C851" t="s">
        <v>34</v>
      </c>
      <c r="D851" t="s">
        <v>21</v>
      </c>
      <c r="E851" t="s">
        <v>42</v>
      </c>
      <c r="F851" t="s">
        <v>103</v>
      </c>
      <c r="G851">
        <v>52.04</v>
      </c>
      <c r="H851" s="9">
        <v>9</v>
      </c>
      <c r="I851" s="9">
        <v>185</v>
      </c>
      <c r="J851" s="6">
        <f>IFERROR(Info_Camas[[#This Row],[Lineas]]/Info_Camas[[#This Row],[Cortinas]],"Pendiente")</f>
        <v>20.555555555555557</v>
      </c>
    </row>
    <row r="852" spans="1:10" hidden="1" x14ac:dyDescent="0.25">
      <c r="A852" t="str">
        <f>+_xlfn.CONCAT(Info_Camas[[#This Row],[Bloque]],Info_Camas[[#This Row],[Lado]],Info_Camas[[#This Row],[Cama]])</f>
        <v>05A026</v>
      </c>
      <c r="B852" t="s">
        <v>739</v>
      </c>
      <c r="C852" t="s">
        <v>34</v>
      </c>
      <c r="D852" t="s">
        <v>15</v>
      </c>
      <c r="E852" t="s">
        <v>42</v>
      </c>
      <c r="F852" t="s">
        <v>106</v>
      </c>
      <c r="G852">
        <v>52.04</v>
      </c>
      <c r="H852" s="9">
        <v>9</v>
      </c>
      <c r="I852" s="9">
        <v>184</v>
      </c>
      <c r="J852" s="6">
        <f>IFERROR(Info_Camas[[#This Row],[Lineas]]/Info_Camas[[#This Row],[Cortinas]],"Pendiente")</f>
        <v>20.444444444444443</v>
      </c>
    </row>
    <row r="853" spans="1:10" hidden="1" x14ac:dyDescent="0.25">
      <c r="A853" t="str">
        <f>+_xlfn.CONCAT(Info_Camas[[#This Row],[Bloque]],Info_Camas[[#This Row],[Lado]],Info_Camas[[#This Row],[Cama]])</f>
        <v>05B026</v>
      </c>
      <c r="B853" t="s">
        <v>739</v>
      </c>
      <c r="C853" t="s">
        <v>34</v>
      </c>
      <c r="D853" t="s">
        <v>21</v>
      </c>
      <c r="E853" t="s">
        <v>42</v>
      </c>
      <c r="F853" t="s">
        <v>106</v>
      </c>
      <c r="G853">
        <v>52.04</v>
      </c>
      <c r="H853" s="9">
        <v>9</v>
      </c>
      <c r="I853" s="9">
        <v>185</v>
      </c>
      <c r="J853" s="6">
        <f>IFERROR(Info_Camas[[#This Row],[Lineas]]/Info_Camas[[#This Row],[Cortinas]],"Pendiente")</f>
        <v>20.555555555555557</v>
      </c>
    </row>
    <row r="854" spans="1:10" hidden="1" x14ac:dyDescent="0.25">
      <c r="A854" t="str">
        <f>+_xlfn.CONCAT(Info_Camas[[#This Row],[Bloque]],Info_Camas[[#This Row],[Lado]],Info_Camas[[#This Row],[Cama]])</f>
        <v>05A027</v>
      </c>
      <c r="B854" t="s">
        <v>739</v>
      </c>
      <c r="C854" t="s">
        <v>34</v>
      </c>
      <c r="D854" t="s">
        <v>15</v>
      </c>
      <c r="E854" t="s">
        <v>42</v>
      </c>
      <c r="F854" t="s">
        <v>109</v>
      </c>
      <c r="G854">
        <v>52.04</v>
      </c>
      <c r="H854" s="9">
        <v>9</v>
      </c>
      <c r="I854" s="9">
        <v>183</v>
      </c>
      <c r="J854" s="6">
        <f>IFERROR(Info_Camas[[#This Row],[Lineas]]/Info_Camas[[#This Row],[Cortinas]],"Pendiente")</f>
        <v>20.333333333333332</v>
      </c>
    </row>
    <row r="855" spans="1:10" hidden="1" x14ac:dyDescent="0.25">
      <c r="A855" t="str">
        <f>+_xlfn.CONCAT(Info_Camas[[#This Row],[Bloque]],Info_Camas[[#This Row],[Lado]],Info_Camas[[#This Row],[Cama]])</f>
        <v>05B027</v>
      </c>
      <c r="B855" t="s">
        <v>739</v>
      </c>
      <c r="C855" t="s">
        <v>34</v>
      </c>
      <c r="D855" t="s">
        <v>21</v>
      </c>
      <c r="E855" t="s">
        <v>42</v>
      </c>
      <c r="F855" t="s">
        <v>109</v>
      </c>
      <c r="G855">
        <v>52.04</v>
      </c>
      <c r="H855" s="9">
        <v>9</v>
      </c>
      <c r="I855" s="9">
        <v>185</v>
      </c>
      <c r="J855" s="6">
        <f>IFERROR(Info_Camas[[#This Row],[Lineas]]/Info_Camas[[#This Row],[Cortinas]],"Pendiente")</f>
        <v>20.555555555555557</v>
      </c>
    </row>
    <row r="856" spans="1:10" hidden="1" x14ac:dyDescent="0.25">
      <c r="A856" t="str">
        <f>+_xlfn.CONCAT(Info_Camas[[#This Row],[Bloque]],Info_Camas[[#This Row],[Lado]],Info_Camas[[#This Row],[Cama]])</f>
        <v>05A028</v>
      </c>
      <c r="B856" t="s">
        <v>739</v>
      </c>
      <c r="C856" t="s">
        <v>34</v>
      </c>
      <c r="D856" t="s">
        <v>15</v>
      </c>
      <c r="E856" t="s">
        <v>42</v>
      </c>
      <c r="F856" t="s">
        <v>112</v>
      </c>
      <c r="G856">
        <v>52.04</v>
      </c>
      <c r="H856" s="9">
        <v>9</v>
      </c>
      <c r="I856" s="9">
        <v>183</v>
      </c>
      <c r="J856" s="6">
        <f>IFERROR(Info_Camas[[#This Row],[Lineas]]/Info_Camas[[#This Row],[Cortinas]],"Pendiente")</f>
        <v>20.333333333333332</v>
      </c>
    </row>
    <row r="857" spans="1:10" hidden="1" x14ac:dyDescent="0.25">
      <c r="A857" t="str">
        <f>+_xlfn.CONCAT(Info_Camas[[#This Row],[Bloque]],Info_Camas[[#This Row],[Lado]],Info_Camas[[#This Row],[Cama]])</f>
        <v>05B028</v>
      </c>
      <c r="B857" t="s">
        <v>739</v>
      </c>
      <c r="C857" t="s">
        <v>34</v>
      </c>
      <c r="D857" t="s">
        <v>21</v>
      </c>
      <c r="E857" t="s">
        <v>42</v>
      </c>
      <c r="F857" t="s">
        <v>112</v>
      </c>
      <c r="G857">
        <v>52.04</v>
      </c>
      <c r="H857" s="9">
        <v>9</v>
      </c>
      <c r="I857" s="9">
        <v>185</v>
      </c>
      <c r="J857" s="6">
        <f>IFERROR(Info_Camas[[#This Row],[Lineas]]/Info_Camas[[#This Row],[Cortinas]],"Pendiente")</f>
        <v>20.555555555555557</v>
      </c>
    </row>
    <row r="858" spans="1:10" hidden="1" x14ac:dyDescent="0.25">
      <c r="A858" t="str">
        <f>+_xlfn.CONCAT(Info_Camas[[#This Row],[Bloque]],Info_Camas[[#This Row],[Lado]],Info_Camas[[#This Row],[Cama]])</f>
        <v>05A029</v>
      </c>
      <c r="B858" t="s">
        <v>739</v>
      </c>
      <c r="C858" t="s">
        <v>34</v>
      </c>
      <c r="D858" t="s">
        <v>15</v>
      </c>
      <c r="E858" t="s">
        <v>46</v>
      </c>
      <c r="F858" t="s">
        <v>115</v>
      </c>
      <c r="G858">
        <v>52.04</v>
      </c>
      <c r="H858" s="9">
        <v>9</v>
      </c>
      <c r="I858" s="9">
        <v>183</v>
      </c>
      <c r="J858" s="6">
        <f>IFERROR(Info_Camas[[#This Row],[Lineas]]/Info_Camas[[#This Row],[Cortinas]],"Pendiente")</f>
        <v>20.333333333333332</v>
      </c>
    </row>
    <row r="859" spans="1:10" hidden="1" x14ac:dyDescent="0.25">
      <c r="A859" t="str">
        <f>+_xlfn.CONCAT(Info_Camas[[#This Row],[Bloque]],Info_Camas[[#This Row],[Lado]],Info_Camas[[#This Row],[Cama]])</f>
        <v>05B029</v>
      </c>
      <c r="B859" t="s">
        <v>739</v>
      </c>
      <c r="C859" t="s">
        <v>34</v>
      </c>
      <c r="D859" t="s">
        <v>21</v>
      </c>
      <c r="E859" t="s">
        <v>46</v>
      </c>
      <c r="F859" t="s">
        <v>115</v>
      </c>
      <c r="G859">
        <v>52.04</v>
      </c>
      <c r="H859" s="9">
        <v>9</v>
      </c>
      <c r="I859" s="9">
        <v>186</v>
      </c>
      <c r="J859" s="6">
        <f>IFERROR(Info_Camas[[#This Row],[Lineas]]/Info_Camas[[#This Row],[Cortinas]],"Pendiente")</f>
        <v>20.666666666666668</v>
      </c>
    </row>
    <row r="860" spans="1:10" hidden="1" x14ac:dyDescent="0.25">
      <c r="A860" t="str">
        <f>+_xlfn.CONCAT(Info_Camas[[#This Row],[Bloque]],Info_Camas[[#This Row],[Lado]],Info_Camas[[#This Row],[Cama]])</f>
        <v>05A030</v>
      </c>
      <c r="B860" t="s">
        <v>739</v>
      </c>
      <c r="C860" t="s">
        <v>34</v>
      </c>
      <c r="D860" t="s">
        <v>15</v>
      </c>
      <c r="E860" t="s">
        <v>46</v>
      </c>
      <c r="F860" t="s">
        <v>118</v>
      </c>
      <c r="G860">
        <v>52.04</v>
      </c>
      <c r="H860" s="9">
        <v>9</v>
      </c>
      <c r="I860" s="9">
        <v>183</v>
      </c>
      <c r="J860" s="6">
        <f>IFERROR(Info_Camas[[#This Row],[Lineas]]/Info_Camas[[#This Row],[Cortinas]],"Pendiente")</f>
        <v>20.333333333333332</v>
      </c>
    </row>
    <row r="861" spans="1:10" hidden="1" x14ac:dyDescent="0.25">
      <c r="A861" t="str">
        <f>+_xlfn.CONCAT(Info_Camas[[#This Row],[Bloque]],Info_Camas[[#This Row],[Lado]],Info_Camas[[#This Row],[Cama]])</f>
        <v>05B030</v>
      </c>
      <c r="B861" t="s">
        <v>739</v>
      </c>
      <c r="C861" t="s">
        <v>34</v>
      </c>
      <c r="D861" t="s">
        <v>21</v>
      </c>
      <c r="E861" t="s">
        <v>46</v>
      </c>
      <c r="F861" t="s">
        <v>118</v>
      </c>
      <c r="G861">
        <v>52.04</v>
      </c>
      <c r="H861" s="9">
        <v>9</v>
      </c>
      <c r="I861" s="9">
        <v>185</v>
      </c>
      <c r="J861" s="6">
        <f>IFERROR(Info_Camas[[#This Row],[Lineas]]/Info_Camas[[#This Row],[Cortinas]],"Pendiente")</f>
        <v>20.555555555555557</v>
      </c>
    </row>
    <row r="862" spans="1:10" hidden="1" x14ac:dyDescent="0.25">
      <c r="A862" t="str">
        <f>+_xlfn.CONCAT(Info_Camas[[#This Row],[Bloque]],Info_Camas[[#This Row],[Lado]],Info_Camas[[#This Row],[Cama]])</f>
        <v>05A031</v>
      </c>
      <c r="B862" t="s">
        <v>739</v>
      </c>
      <c r="C862" t="s">
        <v>34</v>
      </c>
      <c r="D862" t="s">
        <v>15</v>
      </c>
      <c r="E862" t="s">
        <v>46</v>
      </c>
      <c r="F862" t="s">
        <v>121</v>
      </c>
      <c r="G862">
        <v>52.04</v>
      </c>
      <c r="H862" s="9">
        <v>9</v>
      </c>
      <c r="I862" s="9">
        <v>183</v>
      </c>
      <c r="J862" s="6">
        <f>IFERROR(Info_Camas[[#This Row],[Lineas]]/Info_Camas[[#This Row],[Cortinas]],"Pendiente")</f>
        <v>20.333333333333332</v>
      </c>
    </row>
    <row r="863" spans="1:10" hidden="1" x14ac:dyDescent="0.25">
      <c r="A863" t="str">
        <f>+_xlfn.CONCAT(Info_Camas[[#This Row],[Bloque]],Info_Camas[[#This Row],[Lado]],Info_Camas[[#This Row],[Cama]])</f>
        <v>05B031</v>
      </c>
      <c r="B863" t="s">
        <v>739</v>
      </c>
      <c r="C863" t="s">
        <v>34</v>
      </c>
      <c r="D863" t="s">
        <v>21</v>
      </c>
      <c r="E863" t="s">
        <v>46</v>
      </c>
      <c r="F863" t="s">
        <v>121</v>
      </c>
      <c r="G863">
        <v>52.04</v>
      </c>
      <c r="H863" s="9">
        <v>9</v>
      </c>
      <c r="I863" s="9">
        <v>185</v>
      </c>
      <c r="J863" s="6">
        <f>IFERROR(Info_Camas[[#This Row],[Lineas]]/Info_Camas[[#This Row],[Cortinas]],"Pendiente")</f>
        <v>20.555555555555557</v>
      </c>
    </row>
    <row r="864" spans="1:10" hidden="1" x14ac:dyDescent="0.25">
      <c r="A864" t="str">
        <f>+_xlfn.CONCAT(Info_Camas[[#This Row],[Bloque]],Info_Camas[[#This Row],[Lado]],Info_Camas[[#This Row],[Cama]])</f>
        <v>05A032</v>
      </c>
      <c r="B864" t="s">
        <v>739</v>
      </c>
      <c r="C864" t="s">
        <v>34</v>
      </c>
      <c r="D864" t="s">
        <v>15</v>
      </c>
      <c r="E864" t="s">
        <v>46</v>
      </c>
      <c r="F864" t="s">
        <v>124</v>
      </c>
      <c r="G864">
        <v>52.04</v>
      </c>
      <c r="H864" s="9">
        <v>9</v>
      </c>
      <c r="I864" s="9">
        <v>184</v>
      </c>
      <c r="J864" s="6">
        <f>IFERROR(Info_Camas[[#This Row],[Lineas]]/Info_Camas[[#This Row],[Cortinas]],"Pendiente")</f>
        <v>20.444444444444443</v>
      </c>
    </row>
    <row r="865" spans="1:10" hidden="1" x14ac:dyDescent="0.25">
      <c r="A865" t="str">
        <f>+_xlfn.CONCAT(Info_Camas[[#This Row],[Bloque]],Info_Camas[[#This Row],[Lado]],Info_Camas[[#This Row],[Cama]])</f>
        <v>05B032</v>
      </c>
      <c r="B865" t="s">
        <v>739</v>
      </c>
      <c r="C865" t="s">
        <v>34</v>
      </c>
      <c r="D865" t="s">
        <v>21</v>
      </c>
      <c r="E865" t="s">
        <v>46</v>
      </c>
      <c r="F865" t="s">
        <v>124</v>
      </c>
      <c r="G865">
        <v>52.04</v>
      </c>
      <c r="H865" s="9">
        <v>9</v>
      </c>
      <c r="I865" s="9">
        <v>184</v>
      </c>
      <c r="J865" s="6">
        <f>IFERROR(Info_Camas[[#This Row],[Lineas]]/Info_Camas[[#This Row],[Cortinas]],"Pendiente")</f>
        <v>20.444444444444443</v>
      </c>
    </row>
    <row r="866" spans="1:10" hidden="1" x14ac:dyDescent="0.25">
      <c r="A866" t="str">
        <f>+_xlfn.CONCAT(Info_Camas[[#This Row],[Bloque]],Info_Camas[[#This Row],[Lado]],Info_Camas[[#This Row],[Cama]])</f>
        <v>05A033</v>
      </c>
      <c r="B866" t="s">
        <v>739</v>
      </c>
      <c r="C866" t="s">
        <v>34</v>
      </c>
      <c r="D866" t="s">
        <v>15</v>
      </c>
      <c r="E866" t="s">
        <v>51</v>
      </c>
      <c r="F866" t="s">
        <v>126</v>
      </c>
      <c r="G866">
        <v>52.04</v>
      </c>
      <c r="H866" s="9">
        <v>9</v>
      </c>
      <c r="I866" s="9">
        <v>183</v>
      </c>
      <c r="J866" s="6">
        <f>IFERROR(Info_Camas[[#This Row],[Lineas]]/Info_Camas[[#This Row],[Cortinas]],"Pendiente")</f>
        <v>20.333333333333332</v>
      </c>
    </row>
    <row r="867" spans="1:10" hidden="1" x14ac:dyDescent="0.25">
      <c r="A867" t="str">
        <f>+_xlfn.CONCAT(Info_Camas[[#This Row],[Bloque]],Info_Camas[[#This Row],[Lado]],Info_Camas[[#This Row],[Cama]])</f>
        <v>05B033</v>
      </c>
      <c r="B867" t="s">
        <v>739</v>
      </c>
      <c r="C867" t="s">
        <v>34</v>
      </c>
      <c r="D867" t="s">
        <v>21</v>
      </c>
      <c r="E867" t="s">
        <v>51</v>
      </c>
      <c r="F867" t="s">
        <v>126</v>
      </c>
      <c r="G867">
        <v>52.04</v>
      </c>
      <c r="H867" s="9">
        <v>9</v>
      </c>
      <c r="I867" s="9">
        <v>185</v>
      </c>
      <c r="J867" s="6">
        <f>IFERROR(Info_Camas[[#This Row],[Lineas]]/Info_Camas[[#This Row],[Cortinas]],"Pendiente")</f>
        <v>20.555555555555557</v>
      </c>
    </row>
    <row r="868" spans="1:10" hidden="1" x14ac:dyDescent="0.25">
      <c r="A868" t="str">
        <f>+_xlfn.CONCAT(Info_Camas[[#This Row],[Bloque]],Info_Camas[[#This Row],[Lado]],Info_Camas[[#This Row],[Cama]])</f>
        <v>05A034</v>
      </c>
      <c r="B868" t="s">
        <v>739</v>
      </c>
      <c r="C868" t="s">
        <v>34</v>
      </c>
      <c r="D868" t="s">
        <v>15</v>
      </c>
      <c r="E868" t="s">
        <v>51</v>
      </c>
      <c r="F868" t="s">
        <v>128</v>
      </c>
      <c r="G868">
        <v>52.04</v>
      </c>
      <c r="H868" s="9">
        <v>9</v>
      </c>
      <c r="I868" s="9">
        <v>183</v>
      </c>
      <c r="J868" s="6">
        <f>IFERROR(Info_Camas[[#This Row],[Lineas]]/Info_Camas[[#This Row],[Cortinas]],"Pendiente")</f>
        <v>20.333333333333332</v>
      </c>
    </row>
    <row r="869" spans="1:10" hidden="1" x14ac:dyDescent="0.25">
      <c r="A869" t="str">
        <f>+_xlfn.CONCAT(Info_Camas[[#This Row],[Bloque]],Info_Camas[[#This Row],[Lado]],Info_Camas[[#This Row],[Cama]])</f>
        <v>05B034</v>
      </c>
      <c r="B869" t="s">
        <v>739</v>
      </c>
      <c r="C869" t="s">
        <v>34</v>
      </c>
      <c r="D869" t="s">
        <v>21</v>
      </c>
      <c r="E869" t="s">
        <v>51</v>
      </c>
      <c r="F869" t="s">
        <v>128</v>
      </c>
      <c r="G869">
        <v>52.04</v>
      </c>
      <c r="H869" s="9">
        <v>9</v>
      </c>
      <c r="I869" s="9">
        <v>186</v>
      </c>
      <c r="J869" s="6">
        <f>IFERROR(Info_Camas[[#This Row],[Lineas]]/Info_Camas[[#This Row],[Cortinas]],"Pendiente")</f>
        <v>20.666666666666668</v>
      </c>
    </row>
    <row r="870" spans="1:10" hidden="1" x14ac:dyDescent="0.25">
      <c r="A870" t="str">
        <f>+_xlfn.CONCAT(Info_Camas[[#This Row],[Bloque]],Info_Camas[[#This Row],[Lado]],Info_Camas[[#This Row],[Cama]])</f>
        <v>05A035</v>
      </c>
      <c r="B870" t="s">
        <v>739</v>
      </c>
      <c r="C870" t="s">
        <v>34</v>
      </c>
      <c r="D870" t="s">
        <v>15</v>
      </c>
      <c r="E870" t="s">
        <v>51</v>
      </c>
      <c r="F870" t="s">
        <v>130</v>
      </c>
      <c r="G870">
        <v>52.04</v>
      </c>
      <c r="H870" s="9">
        <v>9</v>
      </c>
      <c r="I870" s="9">
        <v>182</v>
      </c>
      <c r="J870" s="6">
        <f>IFERROR(Info_Camas[[#This Row],[Lineas]]/Info_Camas[[#This Row],[Cortinas]],"Pendiente")</f>
        <v>20.222222222222221</v>
      </c>
    </row>
    <row r="871" spans="1:10" hidden="1" x14ac:dyDescent="0.25">
      <c r="A871" t="str">
        <f>+_xlfn.CONCAT(Info_Camas[[#This Row],[Bloque]],Info_Camas[[#This Row],[Lado]],Info_Camas[[#This Row],[Cama]])</f>
        <v>05B035</v>
      </c>
      <c r="B871" t="s">
        <v>739</v>
      </c>
      <c r="C871" t="s">
        <v>34</v>
      </c>
      <c r="D871" t="s">
        <v>21</v>
      </c>
      <c r="E871" t="s">
        <v>51</v>
      </c>
      <c r="F871" t="s">
        <v>130</v>
      </c>
      <c r="G871">
        <v>52.04</v>
      </c>
      <c r="H871" s="9">
        <v>9</v>
      </c>
      <c r="I871" s="9">
        <v>186</v>
      </c>
      <c r="J871" s="6">
        <f>IFERROR(Info_Camas[[#This Row],[Lineas]]/Info_Camas[[#This Row],[Cortinas]],"Pendiente")</f>
        <v>20.666666666666668</v>
      </c>
    </row>
    <row r="872" spans="1:10" hidden="1" x14ac:dyDescent="0.25">
      <c r="A872" t="str">
        <f>+_xlfn.CONCAT(Info_Camas[[#This Row],[Bloque]],Info_Camas[[#This Row],[Lado]],Info_Camas[[#This Row],[Cama]])</f>
        <v>05A036</v>
      </c>
      <c r="B872" t="s">
        <v>739</v>
      </c>
      <c r="C872" t="s">
        <v>34</v>
      </c>
      <c r="D872" t="s">
        <v>15</v>
      </c>
      <c r="E872" t="s">
        <v>51</v>
      </c>
      <c r="F872" t="s">
        <v>132</v>
      </c>
      <c r="G872">
        <v>52.04</v>
      </c>
      <c r="H872" s="9">
        <v>9</v>
      </c>
      <c r="I872" s="9">
        <v>182</v>
      </c>
      <c r="J872" s="6">
        <f>IFERROR(Info_Camas[[#This Row],[Lineas]]/Info_Camas[[#This Row],[Cortinas]],"Pendiente")</f>
        <v>20.222222222222221</v>
      </c>
    </row>
    <row r="873" spans="1:10" hidden="1" x14ac:dyDescent="0.25">
      <c r="A873" t="str">
        <f>+_xlfn.CONCAT(Info_Camas[[#This Row],[Bloque]],Info_Camas[[#This Row],[Lado]],Info_Camas[[#This Row],[Cama]])</f>
        <v>05B036</v>
      </c>
      <c r="B873" t="s">
        <v>739</v>
      </c>
      <c r="C873" t="s">
        <v>34</v>
      </c>
      <c r="D873" t="s">
        <v>21</v>
      </c>
      <c r="E873" t="s">
        <v>51</v>
      </c>
      <c r="F873" t="s">
        <v>132</v>
      </c>
      <c r="G873">
        <v>52.04</v>
      </c>
      <c r="H873" s="9">
        <v>9</v>
      </c>
      <c r="I873" s="9">
        <v>186</v>
      </c>
      <c r="J873" s="6">
        <f>IFERROR(Info_Camas[[#This Row],[Lineas]]/Info_Camas[[#This Row],[Cortinas]],"Pendiente")</f>
        <v>20.666666666666668</v>
      </c>
    </row>
    <row r="874" spans="1:10" hidden="1" x14ac:dyDescent="0.25">
      <c r="A874" t="str">
        <f>+_xlfn.CONCAT(Info_Camas[[#This Row],[Bloque]],Info_Camas[[#This Row],[Lado]],Info_Camas[[#This Row],[Cama]])</f>
        <v>05A037</v>
      </c>
      <c r="B874" t="s">
        <v>739</v>
      </c>
      <c r="C874" t="s">
        <v>34</v>
      </c>
      <c r="D874" t="s">
        <v>15</v>
      </c>
      <c r="E874" t="s">
        <v>54</v>
      </c>
      <c r="F874" t="s">
        <v>134</v>
      </c>
      <c r="G874">
        <v>52.04</v>
      </c>
      <c r="H874" s="9">
        <v>9</v>
      </c>
      <c r="I874" s="9">
        <v>182</v>
      </c>
      <c r="J874" s="6">
        <f>IFERROR(Info_Camas[[#This Row],[Lineas]]/Info_Camas[[#This Row],[Cortinas]],"Pendiente")</f>
        <v>20.222222222222221</v>
      </c>
    </row>
    <row r="875" spans="1:10" hidden="1" x14ac:dyDescent="0.25">
      <c r="A875" t="str">
        <f>+_xlfn.CONCAT(Info_Camas[[#This Row],[Bloque]],Info_Camas[[#This Row],[Lado]],Info_Camas[[#This Row],[Cama]])</f>
        <v>05B037</v>
      </c>
      <c r="B875" t="s">
        <v>739</v>
      </c>
      <c r="C875" t="s">
        <v>34</v>
      </c>
      <c r="D875" t="s">
        <v>21</v>
      </c>
      <c r="E875" t="s">
        <v>54</v>
      </c>
      <c r="F875" t="s">
        <v>134</v>
      </c>
      <c r="G875">
        <v>52.04</v>
      </c>
      <c r="H875" s="9">
        <v>9</v>
      </c>
      <c r="I875" s="9">
        <v>185</v>
      </c>
      <c r="J875" s="6">
        <f>IFERROR(Info_Camas[[#This Row],[Lineas]]/Info_Camas[[#This Row],[Cortinas]],"Pendiente")</f>
        <v>20.555555555555557</v>
      </c>
    </row>
    <row r="876" spans="1:10" hidden="1" x14ac:dyDescent="0.25">
      <c r="A876" t="str">
        <f>+_xlfn.CONCAT(Info_Camas[[#This Row],[Bloque]],Info_Camas[[#This Row],[Lado]],Info_Camas[[#This Row],[Cama]])</f>
        <v>05A038</v>
      </c>
      <c r="B876" t="s">
        <v>739</v>
      </c>
      <c r="C876" t="s">
        <v>34</v>
      </c>
      <c r="D876" t="s">
        <v>15</v>
      </c>
      <c r="E876" t="s">
        <v>54</v>
      </c>
      <c r="F876" t="s">
        <v>137</v>
      </c>
      <c r="G876">
        <v>52.04</v>
      </c>
      <c r="H876" s="9">
        <v>9</v>
      </c>
      <c r="I876" s="9">
        <v>182</v>
      </c>
      <c r="J876" s="6">
        <f>IFERROR(Info_Camas[[#This Row],[Lineas]]/Info_Camas[[#This Row],[Cortinas]],"Pendiente")</f>
        <v>20.222222222222221</v>
      </c>
    </row>
    <row r="877" spans="1:10" hidden="1" x14ac:dyDescent="0.25">
      <c r="A877" t="str">
        <f>+_xlfn.CONCAT(Info_Camas[[#This Row],[Bloque]],Info_Camas[[#This Row],[Lado]],Info_Camas[[#This Row],[Cama]])</f>
        <v>05B038</v>
      </c>
      <c r="B877" t="s">
        <v>739</v>
      </c>
      <c r="C877" t="s">
        <v>34</v>
      </c>
      <c r="D877" t="s">
        <v>21</v>
      </c>
      <c r="E877" t="s">
        <v>54</v>
      </c>
      <c r="F877" t="s">
        <v>137</v>
      </c>
      <c r="G877">
        <v>52.04</v>
      </c>
      <c r="H877" s="9">
        <v>9</v>
      </c>
      <c r="I877" s="9">
        <v>186</v>
      </c>
      <c r="J877" s="6">
        <f>IFERROR(Info_Camas[[#This Row],[Lineas]]/Info_Camas[[#This Row],[Cortinas]],"Pendiente")</f>
        <v>20.666666666666668</v>
      </c>
    </row>
    <row r="878" spans="1:10" hidden="1" x14ac:dyDescent="0.25">
      <c r="A878" t="str">
        <f>+_xlfn.CONCAT(Info_Camas[[#This Row],[Bloque]],Info_Camas[[#This Row],[Lado]],Info_Camas[[#This Row],[Cama]])</f>
        <v>05A039</v>
      </c>
      <c r="B878" t="s">
        <v>739</v>
      </c>
      <c r="C878" t="s">
        <v>34</v>
      </c>
      <c r="D878" t="s">
        <v>15</v>
      </c>
      <c r="E878" t="s">
        <v>54</v>
      </c>
      <c r="F878" t="s">
        <v>139</v>
      </c>
      <c r="G878">
        <v>52.04</v>
      </c>
      <c r="H878" s="9">
        <v>9</v>
      </c>
      <c r="I878" s="9">
        <v>182</v>
      </c>
      <c r="J878" s="6">
        <f>IFERROR(Info_Camas[[#This Row],[Lineas]]/Info_Camas[[#This Row],[Cortinas]],"Pendiente")</f>
        <v>20.222222222222221</v>
      </c>
    </row>
    <row r="879" spans="1:10" hidden="1" x14ac:dyDescent="0.25">
      <c r="A879" t="str">
        <f>+_xlfn.CONCAT(Info_Camas[[#This Row],[Bloque]],Info_Camas[[#This Row],[Lado]],Info_Camas[[#This Row],[Cama]])</f>
        <v>05B039</v>
      </c>
      <c r="B879" t="s">
        <v>739</v>
      </c>
      <c r="C879" t="s">
        <v>34</v>
      </c>
      <c r="D879" t="s">
        <v>21</v>
      </c>
      <c r="E879" t="s">
        <v>54</v>
      </c>
      <c r="F879" t="s">
        <v>139</v>
      </c>
      <c r="G879">
        <v>52.04</v>
      </c>
      <c r="H879" s="9">
        <v>9</v>
      </c>
      <c r="I879" s="9">
        <v>185</v>
      </c>
      <c r="J879" s="6">
        <f>IFERROR(Info_Camas[[#This Row],[Lineas]]/Info_Camas[[#This Row],[Cortinas]],"Pendiente")</f>
        <v>20.555555555555557</v>
      </c>
    </row>
    <row r="880" spans="1:10" hidden="1" x14ac:dyDescent="0.25">
      <c r="A880" t="str">
        <f>+_xlfn.CONCAT(Info_Camas[[#This Row],[Bloque]],Info_Camas[[#This Row],[Lado]],Info_Camas[[#This Row],[Cama]])</f>
        <v>05A040</v>
      </c>
      <c r="B880" t="s">
        <v>739</v>
      </c>
      <c r="C880" t="s">
        <v>34</v>
      </c>
      <c r="D880" t="s">
        <v>15</v>
      </c>
      <c r="E880" t="s">
        <v>54</v>
      </c>
      <c r="F880" t="s">
        <v>141</v>
      </c>
      <c r="G880">
        <v>52.04</v>
      </c>
      <c r="H880" s="9">
        <v>9</v>
      </c>
      <c r="I880" s="9">
        <v>178</v>
      </c>
      <c r="J880" s="6">
        <f>IFERROR(Info_Camas[[#This Row],[Lineas]]/Info_Camas[[#This Row],[Cortinas]],"Pendiente")</f>
        <v>19.777777777777779</v>
      </c>
    </row>
    <row r="881" spans="1:10" hidden="1" x14ac:dyDescent="0.25">
      <c r="A881" t="str">
        <f>+_xlfn.CONCAT(Info_Camas[[#This Row],[Bloque]],Info_Camas[[#This Row],[Lado]],Info_Camas[[#This Row],[Cama]])</f>
        <v>05B040</v>
      </c>
      <c r="B881" t="s">
        <v>739</v>
      </c>
      <c r="C881" t="s">
        <v>34</v>
      </c>
      <c r="D881" t="s">
        <v>21</v>
      </c>
      <c r="E881" t="s">
        <v>54</v>
      </c>
      <c r="F881" t="s">
        <v>141</v>
      </c>
      <c r="G881">
        <v>52.04</v>
      </c>
      <c r="H881" s="9">
        <v>9</v>
      </c>
      <c r="I881" s="9">
        <v>185</v>
      </c>
      <c r="J881" s="6">
        <f>IFERROR(Info_Camas[[#This Row],[Lineas]]/Info_Camas[[#This Row],[Cortinas]],"Pendiente")</f>
        <v>20.555555555555557</v>
      </c>
    </row>
    <row r="882" spans="1:10" hidden="1" x14ac:dyDescent="0.25">
      <c r="A882" t="str">
        <f>+_xlfn.CONCAT(Info_Camas[[#This Row],[Bloque]],Info_Camas[[#This Row],[Lado]],Info_Camas[[#This Row],[Cama]])</f>
        <v>05A041</v>
      </c>
      <c r="B882" t="s">
        <v>739</v>
      </c>
      <c r="C882" t="s">
        <v>34</v>
      </c>
      <c r="D882" t="s">
        <v>15</v>
      </c>
      <c r="E882" t="s">
        <v>57</v>
      </c>
      <c r="F882" t="s">
        <v>143</v>
      </c>
      <c r="G882">
        <v>14.0108</v>
      </c>
      <c r="H882" s="9">
        <v>9</v>
      </c>
      <c r="I882" s="9">
        <v>183</v>
      </c>
      <c r="J882" s="6">
        <f>IFERROR(Info_Camas[[#This Row],[Lineas]]/Info_Camas[[#This Row],[Cortinas]],"Pendiente")</f>
        <v>20.333333333333332</v>
      </c>
    </row>
    <row r="883" spans="1:10" hidden="1" x14ac:dyDescent="0.25">
      <c r="A883" t="str">
        <f>+_xlfn.CONCAT(Info_Camas[[#This Row],[Bloque]],Info_Camas[[#This Row],[Lado]],Info_Camas[[#This Row],[Cama]])</f>
        <v>05B041</v>
      </c>
      <c r="B883" t="s">
        <v>739</v>
      </c>
      <c r="C883" t="s">
        <v>34</v>
      </c>
      <c r="D883" t="s">
        <v>21</v>
      </c>
      <c r="E883" t="s">
        <v>57</v>
      </c>
      <c r="F883" t="s">
        <v>143</v>
      </c>
      <c r="G883">
        <v>52.04</v>
      </c>
      <c r="H883" s="9">
        <v>9</v>
      </c>
      <c r="I883" s="9">
        <v>188</v>
      </c>
      <c r="J883" s="6">
        <f>IFERROR(Info_Camas[[#This Row],[Lineas]]/Info_Camas[[#This Row],[Cortinas]],"Pendiente")</f>
        <v>20.888888888888889</v>
      </c>
    </row>
    <row r="884" spans="1:10" hidden="1" x14ac:dyDescent="0.25">
      <c r="A884" t="str">
        <f>+_xlfn.CONCAT(Info_Camas[[#This Row],[Bloque]],Info_Camas[[#This Row],[Lado]],Info_Camas[[#This Row],[Cama]])</f>
        <v>05A042</v>
      </c>
      <c r="B884" t="s">
        <v>739</v>
      </c>
      <c r="C884" t="s">
        <v>34</v>
      </c>
      <c r="D884" t="s">
        <v>15</v>
      </c>
      <c r="E884" t="s">
        <v>57</v>
      </c>
      <c r="F884" t="s">
        <v>145</v>
      </c>
      <c r="G884">
        <v>52.04</v>
      </c>
      <c r="H884" s="9">
        <v>9</v>
      </c>
      <c r="I884" s="9">
        <v>183</v>
      </c>
      <c r="J884" s="6">
        <f>IFERROR(Info_Camas[[#This Row],[Lineas]]/Info_Camas[[#This Row],[Cortinas]],"Pendiente")</f>
        <v>20.333333333333332</v>
      </c>
    </row>
    <row r="885" spans="1:10" hidden="1" x14ac:dyDescent="0.25">
      <c r="A885" t="str">
        <f>+_xlfn.CONCAT(Info_Camas[[#This Row],[Bloque]],Info_Camas[[#This Row],[Lado]],Info_Camas[[#This Row],[Cama]])</f>
        <v>05B042</v>
      </c>
      <c r="B885" t="s">
        <v>739</v>
      </c>
      <c r="C885" t="s">
        <v>34</v>
      </c>
      <c r="D885" t="s">
        <v>21</v>
      </c>
      <c r="E885" t="s">
        <v>57</v>
      </c>
      <c r="F885" t="s">
        <v>145</v>
      </c>
      <c r="G885">
        <v>52.04</v>
      </c>
      <c r="H885" s="9">
        <v>9</v>
      </c>
      <c r="I885" s="9">
        <v>188</v>
      </c>
      <c r="J885" s="6">
        <f>IFERROR(Info_Camas[[#This Row],[Lineas]]/Info_Camas[[#This Row],[Cortinas]],"Pendiente")</f>
        <v>20.888888888888889</v>
      </c>
    </row>
    <row r="886" spans="1:10" hidden="1" x14ac:dyDescent="0.25">
      <c r="A886" t="str">
        <f>+_xlfn.CONCAT(Info_Camas[[#This Row],[Bloque]],Info_Camas[[#This Row],[Lado]],Info_Camas[[#This Row],[Cama]])</f>
        <v>05A043</v>
      </c>
      <c r="B886" t="s">
        <v>739</v>
      </c>
      <c r="C886" t="s">
        <v>34</v>
      </c>
      <c r="D886" t="s">
        <v>15</v>
      </c>
      <c r="E886" t="s">
        <v>57</v>
      </c>
      <c r="F886" t="s">
        <v>147</v>
      </c>
      <c r="G886">
        <v>52.04</v>
      </c>
      <c r="H886" s="9">
        <v>9</v>
      </c>
      <c r="I886" s="9">
        <v>183</v>
      </c>
      <c r="J886" s="6">
        <f>IFERROR(Info_Camas[[#This Row],[Lineas]]/Info_Camas[[#This Row],[Cortinas]],"Pendiente")</f>
        <v>20.333333333333332</v>
      </c>
    </row>
    <row r="887" spans="1:10" hidden="1" x14ac:dyDescent="0.25">
      <c r="A887" t="str">
        <f>+_xlfn.CONCAT(Info_Camas[[#This Row],[Bloque]],Info_Camas[[#This Row],[Lado]],Info_Camas[[#This Row],[Cama]])</f>
        <v>05B043</v>
      </c>
      <c r="B887" t="s">
        <v>739</v>
      </c>
      <c r="C887" t="s">
        <v>34</v>
      </c>
      <c r="D887" t="s">
        <v>21</v>
      </c>
      <c r="E887" t="s">
        <v>57</v>
      </c>
      <c r="F887" t="s">
        <v>147</v>
      </c>
      <c r="G887">
        <v>52.04</v>
      </c>
      <c r="H887" s="9">
        <v>9</v>
      </c>
      <c r="I887" s="9">
        <v>187</v>
      </c>
      <c r="J887" s="6">
        <f>IFERROR(Info_Camas[[#This Row],[Lineas]]/Info_Camas[[#This Row],[Cortinas]],"Pendiente")</f>
        <v>20.777777777777779</v>
      </c>
    </row>
    <row r="888" spans="1:10" hidden="1" x14ac:dyDescent="0.25">
      <c r="A888" t="str">
        <f>+_xlfn.CONCAT(Info_Camas[[#This Row],[Bloque]],Info_Camas[[#This Row],[Lado]],Info_Camas[[#This Row],[Cama]])</f>
        <v>05A044</v>
      </c>
      <c r="B888" t="s">
        <v>739</v>
      </c>
      <c r="C888" t="s">
        <v>34</v>
      </c>
      <c r="D888" t="s">
        <v>15</v>
      </c>
      <c r="E888" t="s">
        <v>57</v>
      </c>
      <c r="F888" t="s">
        <v>149</v>
      </c>
      <c r="G888">
        <v>52.04</v>
      </c>
      <c r="H888" s="9">
        <v>9</v>
      </c>
      <c r="I888" s="9">
        <v>183</v>
      </c>
      <c r="J888" s="6">
        <f>IFERROR(Info_Camas[[#This Row],[Lineas]]/Info_Camas[[#This Row],[Cortinas]],"Pendiente")</f>
        <v>20.333333333333332</v>
      </c>
    </row>
    <row r="889" spans="1:10" hidden="1" x14ac:dyDescent="0.25">
      <c r="A889" t="str">
        <f>+_xlfn.CONCAT(Info_Camas[[#This Row],[Bloque]],Info_Camas[[#This Row],[Lado]],Info_Camas[[#This Row],[Cama]])</f>
        <v>05B044</v>
      </c>
      <c r="B889" t="s">
        <v>739</v>
      </c>
      <c r="C889" t="s">
        <v>34</v>
      </c>
      <c r="D889" t="s">
        <v>21</v>
      </c>
      <c r="E889" t="s">
        <v>57</v>
      </c>
      <c r="F889" t="s">
        <v>149</v>
      </c>
      <c r="G889">
        <v>35.793199999999999</v>
      </c>
      <c r="H889" s="9">
        <v>9</v>
      </c>
      <c r="I889" s="9">
        <v>187</v>
      </c>
      <c r="J889" s="6">
        <f>IFERROR(Info_Camas[[#This Row],[Lineas]]/Info_Camas[[#This Row],[Cortinas]],"Pendiente")</f>
        <v>20.777777777777779</v>
      </c>
    </row>
    <row r="890" spans="1:10" hidden="1" x14ac:dyDescent="0.25">
      <c r="A890" t="str">
        <f>+_xlfn.CONCAT(Info_Camas[[#This Row],[Bloque]],Info_Camas[[#This Row],[Lado]],Info_Camas[[#This Row],[Cama]])</f>
        <v>05A045</v>
      </c>
      <c r="B890" t="s">
        <v>739</v>
      </c>
      <c r="C890" t="s">
        <v>34</v>
      </c>
      <c r="D890" t="s">
        <v>15</v>
      </c>
      <c r="E890" t="s">
        <v>61</v>
      </c>
      <c r="F890" t="s">
        <v>151</v>
      </c>
      <c r="G890">
        <v>52.04</v>
      </c>
      <c r="H890" s="9">
        <v>9</v>
      </c>
      <c r="I890" s="9">
        <v>184</v>
      </c>
      <c r="J890" s="6">
        <f>IFERROR(Info_Camas[[#This Row],[Lineas]]/Info_Camas[[#This Row],[Cortinas]],"Pendiente")</f>
        <v>20.444444444444443</v>
      </c>
    </row>
    <row r="891" spans="1:10" hidden="1" x14ac:dyDescent="0.25">
      <c r="A891" t="str">
        <f>+_xlfn.CONCAT(Info_Camas[[#This Row],[Bloque]],Info_Camas[[#This Row],[Lado]],Info_Camas[[#This Row],[Cama]])</f>
        <v>05B045</v>
      </c>
      <c r="B891" t="s">
        <v>739</v>
      </c>
      <c r="C891" t="s">
        <v>34</v>
      </c>
      <c r="D891" t="s">
        <v>21</v>
      </c>
      <c r="E891" t="s">
        <v>61</v>
      </c>
      <c r="F891" t="s">
        <v>151</v>
      </c>
      <c r="G891">
        <v>52.04</v>
      </c>
      <c r="H891" s="9">
        <v>9</v>
      </c>
      <c r="I891" s="9">
        <v>191</v>
      </c>
      <c r="J891" s="6">
        <f>IFERROR(Info_Camas[[#This Row],[Lineas]]/Info_Camas[[#This Row],[Cortinas]],"Pendiente")</f>
        <v>21.222222222222221</v>
      </c>
    </row>
    <row r="892" spans="1:10" hidden="1" x14ac:dyDescent="0.25">
      <c r="A892" t="str">
        <f>+_xlfn.CONCAT(Info_Camas[[#This Row],[Bloque]],Info_Camas[[#This Row],[Lado]],Info_Camas[[#This Row],[Cama]])</f>
        <v>05A046</v>
      </c>
      <c r="B892" t="s">
        <v>739</v>
      </c>
      <c r="C892" t="s">
        <v>34</v>
      </c>
      <c r="D892" t="s">
        <v>15</v>
      </c>
      <c r="E892" t="s">
        <v>61</v>
      </c>
      <c r="F892" t="s">
        <v>153</v>
      </c>
      <c r="G892">
        <v>52.04</v>
      </c>
      <c r="H892" s="9">
        <v>9</v>
      </c>
      <c r="I892" s="9">
        <v>184</v>
      </c>
      <c r="J892" s="6">
        <f>IFERROR(Info_Camas[[#This Row],[Lineas]]/Info_Camas[[#This Row],[Cortinas]],"Pendiente")</f>
        <v>20.444444444444443</v>
      </c>
    </row>
    <row r="893" spans="1:10" hidden="1" x14ac:dyDescent="0.25">
      <c r="A893" t="str">
        <f>+_xlfn.CONCAT(Info_Camas[[#This Row],[Bloque]],Info_Camas[[#This Row],[Lado]],Info_Camas[[#This Row],[Cama]])</f>
        <v>05B046</v>
      </c>
      <c r="B893" t="s">
        <v>739</v>
      </c>
      <c r="C893" t="s">
        <v>34</v>
      </c>
      <c r="D893" t="s">
        <v>21</v>
      </c>
      <c r="E893" t="s">
        <v>61</v>
      </c>
      <c r="F893" t="s">
        <v>153</v>
      </c>
      <c r="G893">
        <v>52.04</v>
      </c>
      <c r="H893" s="9">
        <v>9</v>
      </c>
      <c r="I893" s="9">
        <v>191</v>
      </c>
      <c r="J893" s="6">
        <f>IFERROR(Info_Camas[[#This Row],[Lineas]]/Info_Camas[[#This Row],[Cortinas]],"Pendiente")</f>
        <v>21.222222222222221</v>
      </c>
    </row>
    <row r="894" spans="1:10" hidden="1" x14ac:dyDescent="0.25">
      <c r="A894" t="str">
        <f>+_xlfn.CONCAT(Info_Camas[[#This Row],[Bloque]],Info_Camas[[#This Row],[Lado]],Info_Camas[[#This Row],[Cama]])</f>
        <v>05A047</v>
      </c>
      <c r="B894" t="s">
        <v>739</v>
      </c>
      <c r="C894" t="s">
        <v>34</v>
      </c>
      <c r="D894" t="s">
        <v>15</v>
      </c>
      <c r="E894" t="s">
        <v>61</v>
      </c>
      <c r="F894" t="s">
        <v>155</v>
      </c>
      <c r="G894">
        <v>52.04</v>
      </c>
      <c r="H894" s="9">
        <v>9</v>
      </c>
      <c r="I894" s="9">
        <v>185</v>
      </c>
      <c r="J894" s="6">
        <f>IFERROR(Info_Camas[[#This Row],[Lineas]]/Info_Camas[[#This Row],[Cortinas]],"Pendiente")</f>
        <v>20.555555555555557</v>
      </c>
    </row>
    <row r="895" spans="1:10" hidden="1" x14ac:dyDescent="0.25">
      <c r="A895" t="str">
        <f>+_xlfn.CONCAT(Info_Camas[[#This Row],[Bloque]],Info_Camas[[#This Row],[Lado]],Info_Camas[[#This Row],[Cama]])</f>
        <v>05B047</v>
      </c>
      <c r="B895" t="s">
        <v>739</v>
      </c>
      <c r="C895" t="s">
        <v>34</v>
      </c>
      <c r="D895" t="s">
        <v>21</v>
      </c>
      <c r="E895" t="s">
        <v>61</v>
      </c>
      <c r="F895" t="s">
        <v>155</v>
      </c>
      <c r="G895">
        <v>52.04</v>
      </c>
      <c r="H895" s="9">
        <v>9</v>
      </c>
      <c r="I895" s="9">
        <v>189</v>
      </c>
      <c r="J895" s="6">
        <f>IFERROR(Info_Camas[[#This Row],[Lineas]]/Info_Camas[[#This Row],[Cortinas]],"Pendiente")</f>
        <v>21</v>
      </c>
    </row>
    <row r="896" spans="1:10" hidden="1" x14ac:dyDescent="0.25">
      <c r="A896" t="str">
        <f>+_xlfn.CONCAT(Info_Camas[[#This Row],[Bloque]],Info_Camas[[#This Row],[Lado]],Info_Camas[[#This Row],[Cama]])</f>
        <v>05A048</v>
      </c>
      <c r="B896" t="s">
        <v>739</v>
      </c>
      <c r="C896" t="s">
        <v>34</v>
      </c>
      <c r="D896" t="s">
        <v>15</v>
      </c>
      <c r="E896" t="s">
        <v>61</v>
      </c>
      <c r="F896" t="s">
        <v>158</v>
      </c>
      <c r="G896">
        <v>52.04</v>
      </c>
      <c r="H896" s="9">
        <v>9</v>
      </c>
      <c r="I896" s="9">
        <v>185</v>
      </c>
      <c r="J896" s="6">
        <f>IFERROR(Info_Camas[[#This Row],[Lineas]]/Info_Camas[[#This Row],[Cortinas]],"Pendiente")</f>
        <v>20.555555555555557</v>
      </c>
    </row>
    <row r="897" spans="1:10" hidden="1" x14ac:dyDescent="0.25">
      <c r="A897" t="str">
        <f>+_xlfn.CONCAT(Info_Camas[[#This Row],[Bloque]],Info_Camas[[#This Row],[Lado]],Info_Camas[[#This Row],[Cama]])</f>
        <v>05B048</v>
      </c>
      <c r="B897" t="s">
        <v>739</v>
      </c>
      <c r="C897" t="s">
        <v>34</v>
      </c>
      <c r="D897" t="s">
        <v>21</v>
      </c>
      <c r="E897" t="s">
        <v>61</v>
      </c>
      <c r="F897" t="s">
        <v>158</v>
      </c>
      <c r="G897">
        <v>52.04</v>
      </c>
      <c r="H897" s="9">
        <v>9</v>
      </c>
      <c r="I897" s="9">
        <v>189</v>
      </c>
      <c r="J897" s="6">
        <f>IFERROR(Info_Camas[[#This Row],[Lineas]]/Info_Camas[[#This Row],[Cortinas]],"Pendiente")</f>
        <v>21</v>
      </c>
    </row>
    <row r="898" spans="1:10" hidden="1" x14ac:dyDescent="0.25">
      <c r="A898" t="str">
        <f>+_xlfn.CONCAT(Info_Camas[[#This Row],[Bloque]],Info_Camas[[#This Row],[Lado]],Info_Camas[[#This Row],[Cama]])</f>
        <v>05A049</v>
      </c>
      <c r="B898" t="s">
        <v>739</v>
      </c>
      <c r="C898" t="s">
        <v>34</v>
      </c>
      <c r="D898" t="s">
        <v>15</v>
      </c>
      <c r="E898" t="s">
        <v>64</v>
      </c>
      <c r="F898" t="s">
        <v>161</v>
      </c>
      <c r="G898">
        <v>52.04</v>
      </c>
      <c r="H898" s="9">
        <v>9</v>
      </c>
      <c r="I898" s="9">
        <v>183</v>
      </c>
      <c r="J898" s="6">
        <f>IFERROR(Info_Camas[[#This Row],[Lineas]]/Info_Camas[[#This Row],[Cortinas]],"Pendiente")</f>
        <v>20.333333333333332</v>
      </c>
    </row>
    <row r="899" spans="1:10" hidden="1" x14ac:dyDescent="0.25">
      <c r="A899" t="str">
        <f>+_xlfn.CONCAT(Info_Camas[[#This Row],[Bloque]],Info_Camas[[#This Row],[Lado]],Info_Camas[[#This Row],[Cama]])</f>
        <v>05B049</v>
      </c>
      <c r="B899" t="s">
        <v>739</v>
      </c>
      <c r="C899" t="s">
        <v>34</v>
      </c>
      <c r="D899" t="s">
        <v>21</v>
      </c>
      <c r="E899" t="s">
        <v>64</v>
      </c>
      <c r="F899" t="s">
        <v>161</v>
      </c>
      <c r="G899">
        <v>52.04</v>
      </c>
      <c r="H899" s="9">
        <v>9</v>
      </c>
      <c r="I899" s="9">
        <v>187</v>
      </c>
      <c r="J899" s="6">
        <f>IFERROR(Info_Camas[[#This Row],[Lineas]]/Info_Camas[[#This Row],[Cortinas]],"Pendiente")</f>
        <v>20.777777777777779</v>
      </c>
    </row>
    <row r="900" spans="1:10" hidden="1" x14ac:dyDescent="0.25">
      <c r="A900" t="str">
        <f>+_xlfn.CONCAT(Info_Camas[[#This Row],[Bloque]],Info_Camas[[#This Row],[Lado]],Info_Camas[[#This Row],[Cama]])</f>
        <v>05A050</v>
      </c>
      <c r="B900" t="s">
        <v>739</v>
      </c>
      <c r="C900" t="s">
        <v>34</v>
      </c>
      <c r="D900" t="s">
        <v>15</v>
      </c>
      <c r="E900" t="s">
        <v>64</v>
      </c>
      <c r="F900" t="s">
        <v>163</v>
      </c>
      <c r="G900">
        <v>52.04</v>
      </c>
      <c r="H900" s="9">
        <v>9</v>
      </c>
      <c r="I900" s="9">
        <v>183</v>
      </c>
      <c r="J900" s="6">
        <f>IFERROR(Info_Camas[[#This Row],[Lineas]]/Info_Camas[[#This Row],[Cortinas]],"Pendiente")</f>
        <v>20.333333333333332</v>
      </c>
    </row>
    <row r="901" spans="1:10" hidden="1" x14ac:dyDescent="0.25">
      <c r="A901" t="str">
        <f>+_xlfn.CONCAT(Info_Camas[[#This Row],[Bloque]],Info_Camas[[#This Row],[Lado]],Info_Camas[[#This Row],[Cama]])</f>
        <v>05B050</v>
      </c>
      <c r="B901" t="s">
        <v>739</v>
      </c>
      <c r="C901" t="s">
        <v>34</v>
      </c>
      <c r="D901" t="s">
        <v>21</v>
      </c>
      <c r="E901" t="s">
        <v>64</v>
      </c>
      <c r="F901" t="s">
        <v>163</v>
      </c>
      <c r="G901">
        <v>52.04</v>
      </c>
      <c r="H901" s="9">
        <v>9</v>
      </c>
      <c r="I901" s="9">
        <v>187</v>
      </c>
      <c r="J901" s="6">
        <f>IFERROR(Info_Camas[[#This Row],[Lineas]]/Info_Camas[[#This Row],[Cortinas]],"Pendiente")</f>
        <v>20.777777777777779</v>
      </c>
    </row>
    <row r="902" spans="1:10" hidden="1" x14ac:dyDescent="0.25">
      <c r="A902" t="str">
        <f>+_xlfn.CONCAT(Info_Camas[[#This Row],[Bloque]],Info_Camas[[#This Row],[Lado]],Info_Camas[[#This Row],[Cama]])</f>
        <v>05A051</v>
      </c>
      <c r="B902" t="s">
        <v>739</v>
      </c>
      <c r="C902" t="s">
        <v>34</v>
      </c>
      <c r="D902" t="s">
        <v>15</v>
      </c>
      <c r="E902" t="s">
        <v>64</v>
      </c>
      <c r="F902" t="s">
        <v>165</v>
      </c>
      <c r="G902">
        <v>52.04</v>
      </c>
      <c r="H902" s="9">
        <v>9</v>
      </c>
      <c r="I902" s="9">
        <v>183</v>
      </c>
      <c r="J902" s="6">
        <f>IFERROR(Info_Camas[[#This Row],[Lineas]]/Info_Camas[[#This Row],[Cortinas]],"Pendiente")</f>
        <v>20.333333333333332</v>
      </c>
    </row>
    <row r="903" spans="1:10" hidden="1" x14ac:dyDescent="0.25">
      <c r="A903" t="str">
        <f>+_xlfn.CONCAT(Info_Camas[[#This Row],[Bloque]],Info_Camas[[#This Row],[Lado]],Info_Camas[[#This Row],[Cama]])</f>
        <v>05B051</v>
      </c>
      <c r="B903" t="s">
        <v>739</v>
      </c>
      <c r="C903" t="s">
        <v>34</v>
      </c>
      <c r="D903" t="s">
        <v>21</v>
      </c>
      <c r="E903" t="s">
        <v>64</v>
      </c>
      <c r="F903" t="s">
        <v>165</v>
      </c>
      <c r="G903">
        <v>52.04</v>
      </c>
      <c r="H903" s="9">
        <v>9</v>
      </c>
      <c r="I903" s="9">
        <v>187</v>
      </c>
      <c r="J903" s="6">
        <f>IFERROR(Info_Camas[[#This Row],[Lineas]]/Info_Camas[[#This Row],[Cortinas]],"Pendiente")</f>
        <v>20.777777777777779</v>
      </c>
    </row>
    <row r="904" spans="1:10" hidden="1" x14ac:dyDescent="0.25">
      <c r="A904" t="str">
        <f>+_xlfn.CONCAT(Info_Camas[[#This Row],[Bloque]],Info_Camas[[#This Row],[Lado]],Info_Camas[[#This Row],[Cama]])</f>
        <v>05A052</v>
      </c>
      <c r="B904" t="s">
        <v>739</v>
      </c>
      <c r="C904" t="s">
        <v>34</v>
      </c>
      <c r="D904" t="s">
        <v>15</v>
      </c>
      <c r="E904" t="s">
        <v>64</v>
      </c>
      <c r="F904" t="s">
        <v>167</v>
      </c>
      <c r="G904">
        <v>52.04</v>
      </c>
      <c r="H904" s="9">
        <v>9</v>
      </c>
      <c r="I904" s="9">
        <v>182</v>
      </c>
      <c r="J904" s="6">
        <f>IFERROR(Info_Camas[[#This Row],[Lineas]]/Info_Camas[[#This Row],[Cortinas]],"Pendiente")</f>
        <v>20.222222222222221</v>
      </c>
    </row>
    <row r="905" spans="1:10" hidden="1" x14ac:dyDescent="0.25">
      <c r="A905" t="str">
        <f>+_xlfn.CONCAT(Info_Camas[[#This Row],[Bloque]],Info_Camas[[#This Row],[Lado]],Info_Camas[[#This Row],[Cama]])</f>
        <v>05B052</v>
      </c>
      <c r="B905" t="s">
        <v>739</v>
      </c>
      <c r="C905" t="s">
        <v>34</v>
      </c>
      <c r="D905" t="s">
        <v>21</v>
      </c>
      <c r="E905" t="s">
        <v>64</v>
      </c>
      <c r="F905" t="s">
        <v>167</v>
      </c>
      <c r="G905">
        <v>52.04</v>
      </c>
      <c r="H905" s="9">
        <v>9</v>
      </c>
      <c r="I905" s="9">
        <v>187</v>
      </c>
      <c r="J905" s="6">
        <f>IFERROR(Info_Camas[[#This Row],[Lineas]]/Info_Camas[[#This Row],[Cortinas]],"Pendiente")</f>
        <v>20.777777777777779</v>
      </c>
    </row>
    <row r="906" spans="1:10" hidden="1" x14ac:dyDescent="0.25">
      <c r="A906" t="str">
        <f>+_xlfn.CONCAT(Info_Camas[[#This Row],[Bloque]],Info_Camas[[#This Row],[Lado]],Info_Camas[[#This Row],[Cama]])</f>
        <v>05A053</v>
      </c>
      <c r="B906" t="s">
        <v>739</v>
      </c>
      <c r="C906" t="s">
        <v>34</v>
      </c>
      <c r="D906" t="s">
        <v>15</v>
      </c>
      <c r="E906" t="s">
        <v>67</v>
      </c>
      <c r="F906" t="s">
        <v>169</v>
      </c>
      <c r="G906">
        <v>14.458399999999999</v>
      </c>
      <c r="H906" s="9">
        <v>9</v>
      </c>
      <c r="I906" s="9">
        <v>182</v>
      </c>
      <c r="J906" s="6">
        <f>IFERROR(Info_Camas[[#This Row],[Lineas]]/Info_Camas[[#This Row],[Cortinas]],"Pendiente")</f>
        <v>20.222222222222221</v>
      </c>
    </row>
    <row r="907" spans="1:10" hidden="1" x14ac:dyDescent="0.25">
      <c r="A907" t="str">
        <f>+_xlfn.CONCAT(Info_Camas[[#This Row],[Bloque]],Info_Camas[[#This Row],[Lado]],Info_Camas[[#This Row],[Cama]])</f>
        <v>05B053</v>
      </c>
      <c r="B907" t="s">
        <v>739</v>
      </c>
      <c r="C907" t="s">
        <v>34</v>
      </c>
      <c r="D907" t="s">
        <v>21</v>
      </c>
      <c r="E907" t="s">
        <v>67</v>
      </c>
      <c r="F907" t="s">
        <v>169</v>
      </c>
      <c r="G907">
        <v>52.04</v>
      </c>
      <c r="H907" s="9">
        <v>9</v>
      </c>
      <c r="I907" s="9">
        <v>187</v>
      </c>
      <c r="J907" s="6">
        <f>IFERROR(Info_Camas[[#This Row],[Lineas]]/Info_Camas[[#This Row],[Cortinas]],"Pendiente")</f>
        <v>20.777777777777779</v>
      </c>
    </row>
    <row r="908" spans="1:10" hidden="1" x14ac:dyDescent="0.25">
      <c r="A908" t="str">
        <f>+_xlfn.CONCAT(Info_Camas[[#This Row],[Bloque]],Info_Camas[[#This Row],[Lado]],Info_Camas[[#This Row],[Cama]])</f>
        <v>05A054</v>
      </c>
      <c r="B908" t="s">
        <v>739</v>
      </c>
      <c r="C908" t="s">
        <v>34</v>
      </c>
      <c r="D908" t="s">
        <v>15</v>
      </c>
      <c r="E908" t="s">
        <v>67</v>
      </c>
      <c r="F908" t="s">
        <v>171</v>
      </c>
      <c r="G908">
        <v>52.04</v>
      </c>
      <c r="H908" s="9">
        <v>9</v>
      </c>
      <c r="I908" s="9">
        <v>182</v>
      </c>
      <c r="J908" s="6">
        <f>IFERROR(Info_Camas[[#This Row],[Lineas]]/Info_Camas[[#This Row],[Cortinas]],"Pendiente")</f>
        <v>20.222222222222221</v>
      </c>
    </row>
    <row r="909" spans="1:10" hidden="1" x14ac:dyDescent="0.25">
      <c r="A909" t="str">
        <f>+_xlfn.CONCAT(Info_Camas[[#This Row],[Bloque]],Info_Camas[[#This Row],[Lado]],Info_Camas[[#This Row],[Cama]])</f>
        <v>05B054</v>
      </c>
      <c r="B909" t="s">
        <v>739</v>
      </c>
      <c r="C909" t="s">
        <v>34</v>
      </c>
      <c r="D909" t="s">
        <v>21</v>
      </c>
      <c r="E909" t="s">
        <v>67</v>
      </c>
      <c r="F909" t="s">
        <v>171</v>
      </c>
      <c r="G909">
        <v>52.04</v>
      </c>
      <c r="H909" s="9">
        <v>9</v>
      </c>
      <c r="I909" s="9">
        <v>186</v>
      </c>
      <c r="J909" s="6">
        <f>IFERROR(Info_Camas[[#This Row],[Lineas]]/Info_Camas[[#This Row],[Cortinas]],"Pendiente")</f>
        <v>20.666666666666668</v>
      </c>
    </row>
    <row r="910" spans="1:10" hidden="1" x14ac:dyDescent="0.25">
      <c r="A910" t="str">
        <f>+_xlfn.CONCAT(Info_Camas[[#This Row],[Bloque]],Info_Camas[[#This Row],[Lado]],Info_Camas[[#This Row],[Cama]])</f>
        <v>05A055</v>
      </c>
      <c r="B910" t="s">
        <v>739</v>
      </c>
      <c r="C910" t="s">
        <v>34</v>
      </c>
      <c r="D910" t="s">
        <v>15</v>
      </c>
      <c r="E910" t="s">
        <v>67</v>
      </c>
      <c r="F910" t="s">
        <v>173</v>
      </c>
      <c r="G910">
        <v>52.04</v>
      </c>
      <c r="H910" s="9">
        <v>9</v>
      </c>
      <c r="I910" s="9">
        <v>183</v>
      </c>
      <c r="J910" s="6">
        <f>IFERROR(Info_Camas[[#This Row],[Lineas]]/Info_Camas[[#This Row],[Cortinas]],"Pendiente")</f>
        <v>20.333333333333332</v>
      </c>
    </row>
    <row r="911" spans="1:10" hidden="1" x14ac:dyDescent="0.25">
      <c r="A911" t="str">
        <f>+_xlfn.CONCAT(Info_Camas[[#This Row],[Bloque]],Info_Camas[[#This Row],[Lado]],Info_Camas[[#This Row],[Cama]])</f>
        <v>05B055</v>
      </c>
      <c r="B911" t="s">
        <v>739</v>
      </c>
      <c r="C911" t="s">
        <v>34</v>
      </c>
      <c r="D911" t="s">
        <v>21</v>
      </c>
      <c r="E911" t="s">
        <v>67</v>
      </c>
      <c r="F911" t="s">
        <v>173</v>
      </c>
      <c r="G911">
        <v>52.04</v>
      </c>
      <c r="H911" s="9">
        <v>9</v>
      </c>
      <c r="I911" s="9">
        <v>188</v>
      </c>
      <c r="J911" s="6">
        <f>IFERROR(Info_Camas[[#This Row],[Lineas]]/Info_Camas[[#This Row],[Cortinas]],"Pendiente")</f>
        <v>20.888888888888889</v>
      </c>
    </row>
    <row r="912" spans="1:10" hidden="1" x14ac:dyDescent="0.25">
      <c r="A912" t="str">
        <f>+_xlfn.CONCAT(Info_Camas[[#This Row],[Bloque]],Info_Camas[[#This Row],[Lado]],Info_Camas[[#This Row],[Cama]])</f>
        <v>05A056</v>
      </c>
      <c r="B912" t="s">
        <v>739</v>
      </c>
      <c r="C912" t="s">
        <v>34</v>
      </c>
      <c r="D912" t="s">
        <v>15</v>
      </c>
      <c r="E912" t="s">
        <v>67</v>
      </c>
      <c r="F912" t="s">
        <v>175</v>
      </c>
      <c r="G912">
        <v>52.04</v>
      </c>
      <c r="H912" s="9">
        <v>9</v>
      </c>
      <c r="I912" s="9">
        <v>182</v>
      </c>
      <c r="J912" s="6">
        <f>IFERROR(Info_Camas[[#This Row],[Lineas]]/Info_Camas[[#This Row],[Cortinas]],"Pendiente")</f>
        <v>20.222222222222221</v>
      </c>
    </row>
    <row r="913" spans="1:10" hidden="1" x14ac:dyDescent="0.25">
      <c r="A913" t="str">
        <f>+_xlfn.CONCAT(Info_Camas[[#This Row],[Bloque]],Info_Camas[[#This Row],[Lado]],Info_Camas[[#This Row],[Cama]])</f>
        <v>05B056</v>
      </c>
      <c r="B913" t="s">
        <v>739</v>
      </c>
      <c r="C913" t="s">
        <v>34</v>
      </c>
      <c r="D913" t="s">
        <v>21</v>
      </c>
      <c r="E913" t="s">
        <v>67</v>
      </c>
      <c r="F913" t="s">
        <v>175</v>
      </c>
      <c r="G913">
        <v>52.04</v>
      </c>
      <c r="H913" s="9">
        <v>9</v>
      </c>
      <c r="I913" s="9">
        <v>188</v>
      </c>
      <c r="J913" s="6">
        <f>IFERROR(Info_Camas[[#This Row],[Lineas]]/Info_Camas[[#This Row],[Cortinas]],"Pendiente")</f>
        <v>20.888888888888889</v>
      </c>
    </row>
    <row r="914" spans="1:10" hidden="1" x14ac:dyDescent="0.25">
      <c r="A914" t="str">
        <f>+_xlfn.CONCAT(Info_Camas[[#This Row],[Bloque]],Info_Camas[[#This Row],[Lado]],Info_Camas[[#This Row],[Cama]])</f>
        <v>05A057</v>
      </c>
      <c r="B914" t="s">
        <v>739</v>
      </c>
      <c r="C914" t="s">
        <v>34</v>
      </c>
      <c r="D914" t="s">
        <v>15</v>
      </c>
      <c r="E914" t="s">
        <v>71</v>
      </c>
      <c r="F914" t="s">
        <v>177</v>
      </c>
      <c r="G914">
        <v>52.04</v>
      </c>
      <c r="H914" s="9">
        <v>9</v>
      </c>
      <c r="I914" s="9">
        <v>189</v>
      </c>
      <c r="J914" s="6">
        <f>IFERROR(Info_Camas[[#This Row],[Lineas]]/Info_Camas[[#This Row],[Cortinas]],"Pendiente")</f>
        <v>21</v>
      </c>
    </row>
    <row r="915" spans="1:10" hidden="1" x14ac:dyDescent="0.25">
      <c r="A915" t="str">
        <f>+_xlfn.CONCAT(Info_Camas[[#This Row],[Bloque]],Info_Camas[[#This Row],[Lado]],Info_Camas[[#This Row],[Cama]])</f>
        <v>05B057</v>
      </c>
      <c r="B915" t="s">
        <v>739</v>
      </c>
      <c r="C915" t="s">
        <v>34</v>
      </c>
      <c r="D915" t="s">
        <v>21</v>
      </c>
      <c r="E915" t="s">
        <v>71</v>
      </c>
      <c r="F915" t="s">
        <v>177</v>
      </c>
      <c r="G915">
        <v>52.04</v>
      </c>
      <c r="H915" s="9">
        <v>9</v>
      </c>
      <c r="I915" s="9">
        <v>177</v>
      </c>
      <c r="J915" s="6">
        <f>IFERROR(Info_Camas[[#This Row],[Lineas]]/Info_Camas[[#This Row],[Cortinas]],"Pendiente")</f>
        <v>19.666666666666668</v>
      </c>
    </row>
    <row r="916" spans="1:10" hidden="1" x14ac:dyDescent="0.25">
      <c r="A916" t="str">
        <f>+_xlfn.CONCAT(Info_Camas[[#This Row],[Bloque]],Info_Camas[[#This Row],[Lado]],Info_Camas[[#This Row],[Cama]])</f>
        <v>05A058</v>
      </c>
      <c r="B916" t="s">
        <v>739</v>
      </c>
      <c r="C916" t="s">
        <v>34</v>
      </c>
      <c r="D916" t="s">
        <v>15</v>
      </c>
      <c r="E916" t="s">
        <v>71</v>
      </c>
      <c r="F916" t="s">
        <v>179</v>
      </c>
      <c r="G916">
        <v>52.04</v>
      </c>
      <c r="H916" s="9">
        <v>9</v>
      </c>
      <c r="I916" s="9">
        <v>189</v>
      </c>
      <c r="J916" s="6">
        <f>IFERROR(Info_Camas[[#This Row],[Lineas]]/Info_Camas[[#This Row],[Cortinas]],"Pendiente")</f>
        <v>21</v>
      </c>
    </row>
    <row r="917" spans="1:10" hidden="1" x14ac:dyDescent="0.25">
      <c r="A917" t="str">
        <f>+_xlfn.CONCAT(Info_Camas[[#This Row],[Bloque]],Info_Camas[[#This Row],[Lado]],Info_Camas[[#This Row],[Cama]])</f>
        <v>05B058</v>
      </c>
      <c r="B917" t="s">
        <v>739</v>
      </c>
      <c r="C917" t="s">
        <v>34</v>
      </c>
      <c r="D917" t="s">
        <v>21</v>
      </c>
      <c r="E917" t="s">
        <v>71</v>
      </c>
      <c r="F917" t="s">
        <v>179</v>
      </c>
      <c r="G917">
        <v>52.04</v>
      </c>
      <c r="H917" s="9">
        <v>9</v>
      </c>
      <c r="I917" s="9">
        <v>188</v>
      </c>
      <c r="J917" s="6">
        <f>IFERROR(Info_Camas[[#This Row],[Lineas]]/Info_Camas[[#This Row],[Cortinas]],"Pendiente")</f>
        <v>20.888888888888889</v>
      </c>
    </row>
    <row r="918" spans="1:10" hidden="1" x14ac:dyDescent="0.25">
      <c r="A918" t="str">
        <f>+_xlfn.CONCAT(Info_Camas[[#This Row],[Bloque]],Info_Camas[[#This Row],[Lado]],Info_Camas[[#This Row],[Cama]])</f>
        <v>05A059</v>
      </c>
      <c r="B918" t="s">
        <v>739</v>
      </c>
      <c r="C918" t="s">
        <v>34</v>
      </c>
      <c r="D918" t="s">
        <v>15</v>
      </c>
      <c r="E918" t="s">
        <v>71</v>
      </c>
      <c r="F918" t="s">
        <v>182</v>
      </c>
      <c r="G918">
        <v>52.04</v>
      </c>
      <c r="H918" s="9">
        <v>9</v>
      </c>
      <c r="I918" s="9">
        <v>185</v>
      </c>
      <c r="J918" s="6">
        <f>IFERROR(Info_Camas[[#This Row],[Lineas]]/Info_Camas[[#This Row],[Cortinas]],"Pendiente")</f>
        <v>20.555555555555557</v>
      </c>
    </row>
    <row r="919" spans="1:10" hidden="1" x14ac:dyDescent="0.25">
      <c r="A919" t="str">
        <f>+_xlfn.CONCAT(Info_Camas[[#This Row],[Bloque]],Info_Camas[[#This Row],[Lado]],Info_Camas[[#This Row],[Cama]])</f>
        <v>05B059</v>
      </c>
      <c r="B919" t="s">
        <v>739</v>
      </c>
      <c r="C919" t="s">
        <v>34</v>
      </c>
      <c r="D919" t="s">
        <v>21</v>
      </c>
      <c r="E919" t="s">
        <v>71</v>
      </c>
      <c r="F919" t="s">
        <v>182</v>
      </c>
      <c r="G919">
        <v>52.04</v>
      </c>
      <c r="H919" s="9">
        <v>9</v>
      </c>
      <c r="I919" s="9">
        <v>177</v>
      </c>
      <c r="J919" s="6">
        <f>IFERROR(Info_Camas[[#This Row],[Lineas]]/Info_Camas[[#This Row],[Cortinas]],"Pendiente")</f>
        <v>19.666666666666668</v>
      </c>
    </row>
    <row r="920" spans="1:10" hidden="1" x14ac:dyDescent="0.25">
      <c r="A920" t="str">
        <f>+_xlfn.CONCAT(Info_Camas[[#This Row],[Bloque]],Info_Camas[[#This Row],[Lado]],Info_Camas[[#This Row],[Cama]])</f>
        <v>05A060</v>
      </c>
      <c r="B920" t="s">
        <v>739</v>
      </c>
      <c r="C920" t="s">
        <v>34</v>
      </c>
      <c r="D920" t="s">
        <v>15</v>
      </c>
      <c r="E920" t="s">
        <v>71</v>
      </c>
      <c r="F920" t="s">
        <v>184</v>
      </c>
      <c r="G920">
        <v>30.563199999999998</v>
      </c>
      <c r="H920" s="9">
        <v>9</v>
      </c>
      <c r="I920" s="9">
        <v>186</v>
      </c>
      <c r="J920" s="6">
        <f>IFERROR(Info_Camas[[#This Row],[Lineas]]/Info_Camas[[#This Row],[Cortinas]],"Pendiente")</f>
        <v>20.666666666666668</v>
      </c>
    </row>
    <row r="921" spans="1:10" hidden="1" x14ac:dyDescent="0.25">
      <c r="A921" t="str">
        <f>+_xlfn.CONCAT(Info_Camas[[#This Row],[Bloque]],Info_Camas[[#This Row],[Lado]],Info_Camas[[#This Row],[Cama]])</f>
        <v>05B060</v>
      </c>
      <c r="B921" t="s">
        <v>739</v>
      </c>
      <c r="C921" t="s">
        <v>34</v>
      </c>
      <c r="D921" t="s">
        <v>21</v>
      </c>
      <c r="E921" t="s">
        <v>71</v>
      </c>
      <c r="F921" t="s">
        <v>184</v>
      </c>
      <c r="G921">
        <v>52.04</v>
      </c>
      <c r="H921" s="9">
        <v>9</v>
      </c>
      <c r="I921" s="9">
        <v>177</v>
      </c>
      <c r="J921" s="6">
        <f>IFERROR(Info_Camas[[#This Row],[Lineas]]/Info_Camas[[#This Row],[Cortinas]],"Pendiente")</f>
        <v>19.666666666666668</v>
      </c>
    </row>
    <row r="922" spans="1:10" hidden="1" x14ac:dyDescent="0.25">
      <c r="A922" t="str">
        <f>+_xlfn.CONCAT(Info_Camas[[#This Row],[Bloque]],Info_Camas[[#This Row],[Lado]],Info_Camas[[#This Row],[Cama]])</f>
        <v>05A061</v>
      </c>
      <c r="B922" t="s">
        <v>739</v>
      </c>
      <c r="C922" t="s">
        <v>34</v>
      </c>
      <c r="D922" t="s">
        <v>15</v>
      </c>
      <c r="E922" t="s">
        <v>74</v>
      </c>
      <c r="F922" t="s">
        <v>186</v>
      </c>
      <c r="G922">
        <v>17.346699999999998</v>
      </c>
      <c r="H922" s="9">
        <v>9</v>
      </c>
      <c r="I922" s="9">
        <v>187</v>
      </c>
      <c r="J922" s="6">
        <f>IFERROR(Info_Camas[[#This Row],[Lineas]]/Info_Camas[[#This Row],[Cortinas]],"Pendiente")</f>
        <v>20.777777777777779</v>
      </c>
    </row>
    <row r="923" spans="1:10" hidden="1" x14ac:dyDescent="0.25">
      <c r="A923" t="str">
        <f>+_xlfn.CONCAT(Info_Camas[[#This Row],[Bloque]],Info_Camas[[#This Row],[Lado]],Info_Camas[[#This Row],[Cama]])</f>
        <v>05B061</v>
      </c>
      <c r="B923" t="s">
        <v>739</v>
      </c>
      <c r="C923" t="s">
        <v>34</v>
      </c>
      <c r="D923" t="s">
        <v>21</v>
      </c>
      <c r="E923" t="s">
        <v>74</v>
      </c>
      <c r="F923" t="s">
        <v>186</v>
      </c>
      <c r="G923">
        <v>5.7773000000000003</v>
      </c>
      <c r="H923" s="9">
        <v>9</v>
      </c>
      <c r="I923" s="9">
        <v>188</v>
      </c>
      <c r="J923" s="6">
        <f>IFERROR(Info_Camas[[#This Row],[Lineas]]/Info_Camas[[#This Row],[Cortinas]],"Pendiente")</f>
        <v>20.888888888888889</v>
      </c>
    </row>
    <row r="924" spans="1:10" hidden="1" x14ac:dyDescent="0.25">
      <c r="A924" t="str">
        <f>+_xlfn.CONCAT(Info_Camas[[#This Row],[Bloque]],Info_Camas[[#This Row],[Lado]],Info_Camas[[#This Row],[Cama]])</f>
        <v>05A062</v>
      </c>
      <c r="B924" t="s">
        <v>739</v>
      </c>
      <c r="C924" t="s">
        <v>34</v>
      </c>
      <c r="D924" t="s">
        <v>15</v>
      </c>
      <c r="E924" t="s">
        <v>74</v>
      </c>
      <c r="F924" t="s">
        <v>188</v>
      </c>
      <c r="G924">
        <v>14.456200000000001</v>
      </c>
      <c r="H924" s="9">
        <v>9</v>
      </c>
      <c r="I924" s="9">
        <v>187</v>
      </c>
      <c r="J924" s="6">
        <f>IFERROR(Info_Camas[[#This Row],[Lineas]]/Info_Camas[[#This Row],[Cortinas]],"Pendiente")</f>
        <v>20.777777777777779</v>
      </c>
    </row>
    <row r="925" spans="1:10" hidden="1" x14ac:dyDescent="0.25">
      <c r="A925" t="str">
        <f>+_xlfn.CONCAT(Info_Camas[[#This Row],[Bloque]],Info_Camas[[#This Row],[Lado]],Info_Camas[[#This Row],[Cama]])</f>
        <v>05B062</v>
      </c>
      <c r="B925" t="s">
        <v>739</v>
      </c>
      <c r="C925" t="s">
        <v>34</v>
      </c>
      <c r="D925" t="s">
        <v>21</v>
      </c>
      <c r="E925" t="s">
        <v>74</v>
      </c>
      <c r="F925" t="s">
        <v>188</v>
      </c>
      <c r="G925">
        <v>52.04</v>
      </c>
      <c r="H925" s="9">
        <v>9</v>
      </c>
      <c r="I925" s="9">
        <v>187</v>
      </c>
      <c r="J925" s="6">
        <f>IFERROR(Info_Camas[[#This Row],[Lineas]]/Info_Camas[[#This Row],[Cortinas]],"Pendiente")</f>
        <v>20.777777777777779</v>
      </c>
    </row>
    <row r="926" spans="1:10" hidden="1" x14ac:dyDescent="0.25">
      <c r="A926" t="str">
        <f>+_xlfn.CONCAT(Info_Camas[[#This Row],[Bloque]],Info_Camas[[#This Row],[Lado]],Info_Camas[[#This Row],[Cama]])</f>
        <v>05A063</v>
      </c>
      <c r="B926" t="s">
        <v>739</v>
      </c>
      <c r="C926" t="s">
        <v>34</v>
      </c>
      <c r="D926" t="s">
        <v>15</v>
      </c>
      <c r="E926" t="s">
        <v>74</v>
      </c>
      <c r="F926" t="s">
        <v>190</v>
      </c>
      <c r="G926">
        <v>52.04</v>
      </c>
      <c r="H926" s="9">
        <v>9</v>
      </c>
      <c r="I926" s="9">
        <v>183</v>
      </c>
      <c r="J926" s="6">
        <f>IFERROR(Info_Camas[[#This Row],[Lineas]]/Info_Camas[[#This Row],[Cortinas]],"Pendiente")</f>
        <v>20.333333333333332</v>
      </c>
    </row>
    <row r="927" spans="1:10" hidden="1" x14ac:dyDescent="0.25">
      <c r="A927" t="str">
        <f>+_xlfn.CONCAT(Info_Camas[[#This Row],[Bloque]],Info_Camas[[#This Row],[Lado]],Info_Camas[[#This Row],[Cama]])</f>
        <v>05B063</v>
      </c>
      <c r="B927" t="s">
        <v>739</v>
      </c>
      <c r="C927" t="s">
        <v>34</v>
      </c>
      <c r="D927" t="s">
        <v>21</v>
      </c>
      <c r="E927" t="s">
        <v>74</v>
      </c>
      <c r="F927" t="s">
        <v>190</v>
      </c>
      <c r="G927">
        <v>52.04</v>
      </c>
      <c r="H927" s="9">
        <v>9</v>
      </c>
      <c r="I927" s="9">
        <v>185</v>
      </c>
      <c r="J927" s="6">
        <f>IFERROR(Info_Camas[[#This Row],[Lineas]]/Info_Camas[[#This Row],[Cortinas]],"Pendiente")</f>
        <v>20.555555555555557</v>
      </c>
    </row>
    <row r="928" spans="1:10" hidden="1" x14ac:dyDescent="0.25">
      <c r="A928" t="str">
        <f>+_xlfn.CONCAT(Info_Camas[[#This Row],[Bloque]],Info_Camas[[#This Row],[Lado]],Info_Camas[[#This Row],[Cama]])</f>
        <v>05A064</v>
      </c>
      <c r="B928" t="s">
        <v>739</v>
      </c>
      <c r="C928" t="s">
        <v>34</v>
      </c>
      <c r="D928" t="s">
        <v>15</v>
      </c>
      <c r="E928" t="s">
        <v>74</v>
      </c>
      <c r="F928" t="s">
        <v>192</v>
      </c>
      <c r="G928">
        <v>52.04</v>
      </c>
      <c r="H928" s="9">
        <v>9</v>
      </c>
      <c r="I928" s="9">
        <v>183</v>
      </c>
      <c r="J928" s="6">
        <f>IFERROR(Info_Camas[[#This Row],[Lineas]]/Info_Camas[[#This Row],[Cortinas]],"Pendiente")</f>
        <v>20.333333333333332</v>
      </c>
    </row>
    <row r="929" spans="1:10" hidden="1" x14ac:dyDescent="0.25">
      <c r="A929" t="str">
        <f>+_xlfn.CONCAT(Info_Camas[[#This Row],[Bloque]],Info_Camas[[#This Row],[Lado]],Info_Camas[[#This Row],[Cama]])</f>
        <v>05B064</v>
      </c>
      <c r="B929" t="s">
        <v>739</v>
      </c>
      <c r="C929" t="s">
        <v>34</v>
      </c>
      <c r="D929" t="s">
        <v>21</v>
      </c>
      <c r="E929" t="s">
        <v>74</v>
      </c>
      <c r="F929" t="s">
        <v>192</v>
      </c>
      <c r="G929">
        <v>52.04</v>
      </c>
      <c r="H929" s="9">
        <v>9</v>
      </c>
      <c r="I929" s="9">
        <v>184</v>
      </c>
      <c r="J929" s="6">
        <f>IFERROR(Info_Camas[[#This Row],[Lineas]]/Info_Camas[[#This Row],[Cortinas]],"Pendiente")</f>
        <v>20.444444444444443</v>
      </c>
    </row>
    <row r="930" spans="1:10" hidden="1" x14ac:dyDescent="0.25">
      <c r="A930" t="str">
        <f>+_xlfn.CONCAT(Info_Camas[[#This Row],[Bloque]],Info_Camas[[#This Row],[Lado]],Info_Camas[[#This Row],[Cama]])</f>
        <v>05A065</v>
      </c>
      <c r="B930" t="s">
        <v>739</v>
      </c>
      <c r="C930" t="s">
        <v>34</v>
      </c>
      <c r="D930" t="s">
        <v>15</v>
      </c>
      <c r="E930" t="s">
        <v>77</v>
      </c>
      <c r="F930" t="s">
        <v>194</v>
      </c>
      <c r="G930">
        <v>52.04</v>
      </c>
      <c r="H930" s="9">
        <v>9</v>
      </c>
      <c r="I930" s="9">
        <v>184</v>
      </c>
      <c r="J930" s="6">
        <f>IFERROR(Info_Camas[[#This Row],[Lineas]]/Info_Camas[[#This Row],[Cortinas]],"Pendiente")</f>
        <v>20.444444444444443</v>
      </c>
    </row>
    <row r="931" spans="1:10" hidden="1" x14ac:dyDescent="0.25">
      <c r="A931" t="str">
        <f>+_xlfn.CONCAT(Info_Camas[[#This Row],[Bloque]],Info_Camas[[#This Row],[Lado]],Info_Camas[[#This Row],[Cama]])</f>
        <v>05B065</v>
      </c>
      <c r="B931" t="s">
        <v>739</v>
      </c>
      <c r="C931" t="s">
        <v>34</v>
      </c>
      <c r="D931" t="s">
        <v>21</v>
      </c>
      <c r="E931" t="s">
        <v>77</v>
      </c>
      <c r="F931" t="s">
        <v>194</v>
      </c>
      <c r="G931">
        <v>52.04</v>
      </c>
      <c r="H931" s="9">
        <v>9</v>
      </c>
      <c r="I931" s="9">
        <v>185</v>
      </c>
      <c r="J931" s="6">
        <f>IFERROR(Info_Camas[[#This Row],[Lineas]]/Info_Camas[[#This Row],[Cortinas]],"Pendiente")</f>
        <v>20.555555555555557</v>
      </c>
    </row>
    <row r="932" spans="1:10" hidden="1" x14ac:dyDescent="0.25">
      <c r="A932" t="str">
        <f>+_xlfn.CONCAT(Info_Camas[[#This Row],[Bloque]],Info_Camas[[#This Row],[Lado]],Info_Camas[[#This Row],[Cama]])</f>
        <v>05A066</v>
      </c>
      <c r="B932" t="s">
        <v>739</v>
      </c>
      <c r="C932" t="s">
        <v>34</v>
      </c>
      <c r="D932" t="s">
        <v>15</v>
      </c>
      <c r="E932" t="s">
        <v>77</v>
      </c>
      <c r="F932" t="s">
        <v>196</v>
      </c>
      <c r="G932">
        <v>52.04</v>
      </c>
      <c r="H932" s="9">
        <v>9</v>
      </c>
      <c r="I932" s="9">
        <v>179</v>
      </c>
      <c r="J932" s="6">
        <f>IFERROR(Info_Camas[[#This Row],[Lineas]]/Info_Camas[[#This Row],[Cortinas]],"Pendiente")</f>
        <v>19.888888888888889</v>
      </c>
    </row>
    <row r="933" spans="1:10" hidden="1" x14ac:dyDescent="0.25">
      <c r="A933" t="str">
        <f>+_xlfn.CONCAT(Info_Camas[[#This Row],[Bloque]],Info_Camas[[#This Row],[Lado]],Info_Camas[[#This Row],[Cama]])</f>
        <v>05B066</v>
      </c>
      <c r="B933" t="s">
        <v>739</v>
      </c>
      <c r="C933" t="s">
        <v>34</v>
      </c>
      <c r="D933" t="s">
        <v>21</v>
      </c>
      <c r="E933" t="s">
        <v>77</v>
      </c>
      <c r="F933" t="s">
        <v>196</v>
      </c>
      <c r="G933">
        <v>52.04</v>
      </c>
      <c r="H933" s="9">
        <v>9</v>
      </c>
      <c r="I933" s="9">
        <v>185</v>
      </c>
      <c r="J933" s="6">
        <f>IFERROR(Info_Camas[[#This Row],[Lineas]]/Info_Camas[[#This Row],[Cortinas]],"Pendiente")</f>
        <v>20.555555555555557</v>
      </c>
    </row>
    <row r="934" spans="1:10" hidden="1" x14ac:dyDescent="0.25">
      <c r="A934" t="str">
        <f>+_xlfn.CONCAT(Info_Camas[[#This Row],[Bloque]],Info_Camas[[#This Row],[Lado]],Info_Camas[[#This Row],[Cama]])</f>
        <v>05A067</v>
      </c>
      <c r="B934" t="s">
        <v>739</v>
      </c>
      <c r="C934" t="s">
        <v>34</v>
      </c>
      <c r="D934" t="s">
        <v>15</v>
      </c>
      <c r="E934" t="s">
        <v>77</v>
      </c>
      <c r="F934" t="s">
        <v>198</v>
      </c>
      <c r="G934">
        <v>52.04</v>
      </c>
      <c r="H934" s="9">
        <v>9</v>
      </c>
      <c r="I934" s="9">
        <v>187</v>
      </c>
      <c r="J934" s="6">
        <f>IFERROR(Info_Camas[[#This Row],[Lineas]]/Info_Camas[[#This Row],[Cortinas]],"Pendiente")</f>
        <v>20.777777777777779</v>
      </c>
    </row>
    <row r="935" spans="1:10" hidden="1" x14ac:dyDescent="0.25">
      <c r="A935" t="str">
        <f>+_xlfn.CONCAT(Info_Camas[[#This Row],[Bloque]],Info_Camas[[#This Row],[Lado]],Info_Camas[[#This Row],[Cama]])</f>
        <v>05B067</v>
      </c>
      <c r="B935" t="s">
        <v>739</v>
      </c>
      <c r="C935" t="s">
        <v>34</v>
      </c>
      <c r="D935" t="s">
        <v>21</v>
      </c>
      <c r="E935" t="s">
        <v>77</v>
      </c>
      <c r="F935" t="s">
        <v>198</v>
      </c>
      <c r="G935">
        <v>52.04</v>
      </c>
      <c r="H935" s="9">
        <v>9</v>
      </c>
      <c r="I935" s="9">
        <v>183</v>
      </c>
      <c r="J935" s="6">
        <f>IFERROR(Info_Camas[[#This Row],[Lineas]]/Info_Camas[[#This Row],[Cortinas]],"Pendiente")</f>
        <v>20.333333333333332</v>
      </c>
    </row>
    <row r="936" spans="1:10" hidden="1" x14ac:dyDescent="0.25">
      <c r="A936" t="str">
        <f>+_xlfn.CONCAT(Info_Camas[[#This Row],[Bloque]],Info_Camas[[#This Row],[Lado]],Info_Camas[[#This Row],[Cama]])</f>
        <v>05A068</v>
      </c>
      <c r="B936" t="s">
        <v>739</v>
      </c>
      <c r="C936" t="s">
        <v>34</v>
      </c>
      <c r="D936" t="s">
        <v>15</v>
      </c>
      <c r="E936" t="s">
        <v>77</v>
      </c>
      <c r="F936" t="s">
        <v>200</v>
      </c>
      <c r="G936">
        <v>52.04</v>
      </c>
      <c r="H936" s="9">
        <v>9</v>
      </c>
      <c r="I936" s="9">
        <v>187</v>
      </c>
      <c r="J936" s="6">
        <f>IFERROR(Info_Camas[[#This Row],[Lineas]]/Info_Camas[[#This Row],[Cortinas]],"Pendiente")</f>
        <v>20.777777777777779</v>
      </c>
    </row>
    <row r="937" spans="1:10" hidden="1" x14ac:dyDescent="0.25">
      <c r="A937" t="str">
        <f>+_xlfn.CONCAT(Info_Camas[[#This Row],[Bloque]],Info_Camas[[#This Row],[Lado]],Info_Camas[[#This Row],[Cama]])</f>
        <v>05B068</v>
      </c>
      <c r="B937" t="s">
        <v>739</v>
      </c>
      <c r="C937" t="s">
        <v>34</v>
      </c>
      <c r="D937" t="s">
        <v>21</v>
      </c>
      <c r="E937" t="s">
        <v>77</v>
      </c>
      <c r="F937" t="s">
        <v>200</v>
      </c>
      <c r="G937">
        <v>52.04</v>
      </c>
      <c r="H937" s="9">
        <v>9</v>
      </c>
      <c r="I937" s="9">
        <v>184</v>
      </c>
      <c r="J937" s="6">
        <f>IFERROR(Info_Camas[[#This Row],[Lineas]]/Info_Camas[[#This Row],[Cortinas]],"Pendiente")</f>
        <v>20.444444444444443</v>
      </c>
    </row>
    <row r="938" spans="1:10" hidden="1" x14ac:dyDescent="0.25">
      <c r="A938" t="str">
        <f>+_xlfn.CONCAT(Info_Camas[[#This Row],[Bloque]],Info_Camas[[#This Row],[Lado]],Info_Camas[[#This Row],[Cama]])</f>
        <v>05A069</v>
      </c>
      <c r="B938" t="s">
        <v>739</v>
      </c>
      <c r="C938" t="s">
        <v>34</v>
      </c>
      <c r="D938" t="s">
        <v>15</v>
      </c>
      <c r="E938" t="s">
        <v>80</v>
      </c>
      <c r="F938" t="s">
        <v>202</v>
      </c>
      <c r="G938">
        <v>52.04</v>
      </c>
      <c r="H938" s="9">
        <v>9</v>
      </c>
      <c r="I938" s="9">
        <v>184</v>
      </c>
      <c r="J938" s="6">
        <f>IFERROR(Info_Camas[[#This Row],[Lineas]]/Info_Camas[[#This Row],[Cortinas]],"Pendiente")</f>
        <v>20.444444444444443</v>
      </c>
    </row>
    <row r="939" spans="1:10" hidden="1" x14ac:dyDescent="0.25">
      <c r="A939" t="str">
        <f>+_xlfn.CONCAT(Info_Camas[[#This Row],[Bloque]],Info_Camas[[#This Row],[Lado]],Info_Camas[[#This Row],[Cama]])</f>
        <v>05B069</v>
      </c>
      <c r="B939" t="s">
        <v>739</v>
      </c>
      <c r="C939" t="s">
        <v>34</v>
      </c>
      <c r="D939" t="s">
        <v>21</v>
      </c>
      <c r="E939" t="s">
        <v>80</v>
      </c>
      <c r="F939" t="s">
        <v>202</v>
      </c>
      <c r="G939">
        <v>52.04</v>
      </c>
      <c r="H939" s="9">
        <v>9</v>
      </c>
      <c r="I939" s="9">
        <v>185</v>
      </c>
      <c r="J939" s="6">
        <f>IFERROR(Info_Camas[[#This Row],[Lineas]]/Info_Camas[[#This Row],[Cortinas]],"Pendiente")</f>
        <v>20.555555555555557</v>
      </c>
    </row>
    <row r="940" spans="1:10" hidden="1" x14ac:dyDescent="0.25">
      <c r="A940" t="str">
        <f>+_xlfn.CONCAT(Info_Camas[[#This Row],[Bloque]],Info_Camas[[#This Row],[Lado]],Info_Camas[[#This Row],[Cama]])</f>
        <v>05A070</v>
      </c>
      <c r="B940" t="s">
        <v>739</v>
      </c>
      <c r="C940" t="s">
        <v>34</v>
      </c>
      <c r="D940" t="s">
        <v>15</v>
      </c>
      <c r="E940" t="s">
        <v>80</v>
      </c>
      <c r="F940" t="s">
        <v>204</v>
      </c>
      <c r="G940">
        <v>52.04</v>
      </c>
      <c r="H940" s="9">
        <v>9</v>
      </c>
      <c r="I940" s="9">
        <v>184</v>
      </c>
      <c r="J940" s="6">
        <f>IFERROR(Info_Camas[[#This Row],[Lineas]]/Info_Camas[[#This Row],[Cortinas]],"Pendiente")</f>
        <v>20.444444444444443</v>
      </c>
    </row>
    <row r="941" spans="1:10" hidden="1" x14ac:dyDescent="0.25">
      <c r="A941" t="str">
        <f>+_xlfn.CONCAT(Info_Camas[[#This Row],[Bloque]],Info_Camas[[#This Row],[Lado]],Info_Camas[[#This Row],[Cama]])</f>
        <v>05B070</v>
      </c>
      <c r="B941" t="s">
        <v>739</v>
      </c>
      <c r="C941" t="s">
        <v>34</v>
      </c>
      <c r="D941" t="s">
        <v>21</v>
      </c>
      <c r="E941" t="s">
        <v>80</v>
      </c>
      <c r="F941" t="s">
        <v>204</v>
      </c>
      <c r="G941">
        <v>52.04</v>
      </c>
      <c r="H941" s="9">
        <v>9</v>
      </c>
      <c r="I941" s="9">
        <v>184</v>
      </c>
      <c r="J941" s="6">
        <f>IFERROR(Info_Camas[[#This Row],[Lineas]]/Info_Camas[[#This Row],[Cortinas]],"Pendiente")</f>
        <v>20.444444444444443</v>
      </c>
    </row>
    <row r="942" spans="1:10" hidden="1" x14ac:dyDescent="0.25">
      <c r="A942" t="str">
        <f>+_xlfn.CONCAT(Info_Camas[[#This Row],[Bloque]],Info_Camas[[#This Row],[Lado]],Info_Camas[[#This Row],[Cama]])</f>
        <v>05A071</v>
      </c>
      <c r="B942" t="s">
        <v>739</v>
      </c>
      <c r="C942" t="s">
        <v>34</v>
      </c>
      <c r="D942" t="s">
        <v>15</v>
      </c>
      <c r="E942" t="s">
        <v>80</v>
      </c>
      <c r="F942" t="s">
        <v>206</v>
      </c>
      <c r="G942">
        <v>52.04</v>
      </c>
      <c r="H942" s="9">
        <v>9</v>
      </c>
      <c r="I942" s="9">
        <v>184</v>
      </c>
      <c r="J942" s="6">
        <f>IFERROR(Info_Camas[[#This Row],[Lineas]]/Info_Camas[[#This Row],[Cortinas]],"Pendiente")</f>
        <v>20.444444444444443</v>
      </c>
    </row>
    <row r="943" spans="1:10" hidden="1" x14ac:dyDescent="0.25">
      <c r="A943" t="str">
        <f>+_xlfn.CONCAT(Info_Camas[[#This Row],[Bloque]],Info_Camas[[#This Row],[Lado]],Info_Camas[[#This Row],[Cama]])</f>
        <v>05B071</v>
      </c>
      <c r="B943" t="s">
        <v>739</v>
      </c>
      <c r="C943" t="s">
        <v>34</v>
      </c>
      <c r="D943" t="s">
        <v>21</v>
      </c>
      <c r="E943" t="s">
        <v>80</v>
      </c>
      <c r="F943" t="s">
        <v>206</v>
      </c>
      <c r="G943">
        <v>52.04</v>
      </c>
      <c r="H943" s="9">
        <v>9</v>
      </c>
      <c r="I943" s="9">
        <v>185</v>
      </c>
      <c r="J943" s="6">
        <f>IFERROR(Info_Camas[[#This Row],[Lineas]]/Info_Camas[[#This Row],[Cortinas]],"Pendiente")</f>
        <v>20.555555555555557</v>
      </c>
    </row>
    <row r="944" spans="1:10" hidden="1" x14ac:dyDescent="0.25">
      <c r="A944" t="str">
        <f>+_xlfn.CONCAT(Info_Camas[[#This Row],[Bloque]],Info_Camas[[#This Row],[Lado]],Info_Camas[[#This Row],[Cama]])</f>
        <v>05A072</v>
      </c>
      <c r="B944" t="s">
        <v>739</v>
      </c>
      <c r="C944" t="s">
        <v>34</v>
      </c>
      <c r="D944" t="s">
        <v>15</v>
      </c>
      <c r="E944" t="s">
        <v>80</v>
      </c>
      <c r="F944" t="s">
        <v>208</v>
      </c>
      <c r="G944">
        <v>52.04</v>
      </c>
      <c r="H944" s="9">
        <v>9</v>
      </c>
      <c r="I944" s="9">
        <v>184</v>
      </c>
      <c r="J944" s="6">
        <f>IFERROR(Info_Camas[[#This Row],[Lineas]]/Info_Camas[[#This Row],[Cortinas]],"Pendiente")</f>
        <v>20.444444444444443</v>
      </c>
    </row>
    <row r="945" spans="1:10" hidden="1" x14ac:dyDescent="0.25">
      <c r="A945" t="str">
        <f>+_xlfn.CONCAT(Info_Camas[[#This Row],[Bloque]],Info_Camas[[#This Row],[Lado]],Info_Camas[[#This Row],[Cama]])</f>
        <v>05B072</v>
      </c>
      <c r="B945" t="s">
        <v>739</v>
      </c>
      <c r="C945" t="s">
        <v>34</v>
      </c>
      <c r="D945" t="s">
        <v>21</v>
      </c>
      <c r="E945" t="s">
        <v>80</v>
      </c>
      <c r="F945" t="s">
        <v>208</v>
      </c>
      <c r="G945">
        <v>52.04</v>
      </c>
      <c r="H945" s="9">
        <v>9</v>
      </c>
      <c r="I945" s="9">
        <v>184</v>
      </c>
      <c r="J945" s="6">
        <f>IFERROR(Info_Camas[[#This Row],[Lineas]]/Info_Camas[[#This Row],[Cortinas]],"Pendiente")</f>
        <v>20.444444444444443</v>
      </c>
    </row>
    <row r="946" spans="1:10" hidden="1" x14ac:dyDescent="0.25">
      <c r="A946" t="str">
        <f>+_xlfn.CONCAT(Info_Camas[[#This Row],[Bloque]],Info_Camas[[#This Row],[Lado]],Info_Camas[[#This Row],[Cama]])</f>
        <v>05A073</v>
      </c>
      <c r="B946" t="s">
        <v>739</v>
      </c>
      <c r="C946" t="s">
        <v>34</v>
      </c>
      <c r="D946" t="s">
        <v>15</v>
      </c>
      <c r="E946" t="s">
        <v>83</v>
      </c>
      <c r="F946" t="s">
        <v>210</v>
      </c>
      <c r="G946">
        <v>52.04</v>
      </c>
      <c r="H946" s="9">
        <v>9</v>
      </c>
      <c r="I946" s="9">
        <v>184</v>
      </c>
      <c r="J946" s="6">
        <f>IFERROR(Info_Camas[[#This Row],[Lineas]]/Info_Camas[[#This Row],[Cortinas]],"Pendiente")</f>
        <v>20.444444444444443</v>
      </c>
    </row>
    <row r="947" spans="1:10" hidden="1" x14ac:dyDescent="0.25">
      <c r="A947" t="str">
        <f>+_xlfn.CONCAT(Info_Camas[[#This Row],[Bloque]],Info_Camas[[#This Row],[Lado]],Info_Camas[[#This Row],[Cama]])</f>
        <v>05B073</v>
      </c>
      <c r="B947" t="s">
        <v>739</v>
      </c>
      <c r="C947" t="s">
        <v>34</v>
      </c>
      <c r="D947" t="s">
        <v>21</v>
      </c>
      <c r="E947" t="s">
        <v>83</v>
      </c>
      <c r="F947" t="s">
        <v>210</v>
      </c>
      <c r="G947">
        <v>52.04</v>
      </c>
      <c r="H947" s="9">
        <v>9</v>
      </c>
      <c r="I947" s="9">
        <v>182</v>
      </c>
      <c r="J947" s="6">
        <f>IFERROR(Info_Camas[[#This Row],[Lineas]]/Info_Camas[[#This Row],[Cortinas]],"Pendiente")</f>
        <v>20.222222222222221</v>
      </c>
    </row>
    <row r="948" spans="1:10" hidden="1" x14ac:dyDescent="0.25">
      <c r="A948" t="str">
        <f>+_xlfn.CONCAT(Info_Camas[[#This Row],[Bloque]],Info_Camas[[#This Row],[Lado]],Info_Camas[[#This Row],[Cama]])</f>
        <v>05A074</v>
      </c>
      <c r="B948" t="s">
        <v>739</v>
      </c>
      <c r="C948" t="s">
        <v>34</v>
      </c>
      <c r="D948" t="s">
        <v>15</v>
      </c>
      <c r="E948" t="s">
        <v>83</v>
      </c>
      <c r="F948" t="s">
        <v>212</v>
      </c>
      <c r="G948">
        <v>52.04</v>
      </c>
      <c r="H948" s="9">
        <v>9</v>
      </c>
      <c r="I948" s="9">
        <v>184</v>
      </c>
      <c r="J948" s="6">
        <f>IFERROR(Info_Camas[[#This Row],[Lineas]]/Info_Camas[[#This Row],[Cortinas]],"Pendiente")</f>
        <v>20.444444444444443</v>
      </c>
    </row>
    <row r="949" spans="1:10" hidden="1" x14ac:dyDescent="0.25">
      <c r="A949" t="str">
        <f>+_xlfn.CONCAT(Info_Camas[[#This Row],[Bloque]],Info_Camas[[#This Row],[Lado]],Info_Camas[[#This Row],[Cama]])</f>
        <v>05B074</v>
      </c>
      <c r="B949" t="s">
        <v>739</v>
      </c>
      <c r="C949" t="s">
        <v>34</v>
      </c>
      <c r="D949" t="s">
        <v>21</v>
      </c>
      <c r="E949" t="s">
        <v>83</v>
      </c>
      <c r="F949" t="s">
        <v>212</v>
      </c>
      <c r="G949">
        <v>52.04</v>
      </c>
      <c r="H949" s="9">
        <v>9</v>
      </c>
      <c r="I949" s="9">
        <v>184</v>
      </c>
      <c r="J949" s="6">
        <f>IFERROR(Info_Camas[[#This Row],[Lineas]]/Info_Camas[[#This Row],[Cortinas]],"Pendiente")</f>
        <v>20.444444444444443</v>
      </c>
    </row>
    <row r="950" spans="1:10" hidden="1" x14ac:dyDescent="0.25">
      <c r="A950" t="str">
        <f>+_xlfn.CONCAT(Info_Camas[[#This Row],[Bloque]],Info_Camas[[#This Row],[Lado]],Info_Camas[[#This Row],[Cama]])</f>
        <v>05A075</v>
      </c>
      <c r="B950" t="s">
        <v>739</v>
      </c>
      <c r="C950" t="s">
        <v>34</v>
      </c>
      <c r="D950" t="s">
        <v>15</v>
      </c>
      <c r="E950" t="s">
        <v>83</v>
      </c>
      <c r="F950" t="s">
        <v>214</v>
      </c>
      <c r="G950">
        <v>52.04</v>
      </c>
      <c r="H950" s="9">
        <v>9</v>
      </c>
      <c r="I950" s="9">
        <v>184</v>
      </c>
      <c r="J950" s="6">
        <f>IFERROR(Info_Camas[[#This Row],[Lineas]]/Info_Camas[[#This Row],[Cortinas]],"Pendiente")</f>
        <v>20.444444444444443</v>
      </c>
    </row>
    <row r="951" spans="1:10" hidden="1" x14ac:dyDescent="0.25">
      <c r="A951" t="str">
        <f>+_xlfn.CONCAT(Info_Camas[[#This Row],[Bloque]],Info_Camas[[#This Row],[Lado]],Info_Camas[[#This Row],[Cama]])</f>
        <v>05B075</v>
      </c>
      <c r="B951" t="s">
        <v>739</v>
      </c>
      <c r="C951" t="s">
        <v>34</v>
      </c>
      <c r="D951" t="s">
        <v>21</v>
      </c>
      <c r="E951" t="s">
        <v>83</v>
      </c>
      <c r="F951" t="s">
        <v>214</v>
      </c>
      <c r="G951">
        <v>52.04</v>
      </c>
      <c r="H951" s="9">
        <v>9</v>
      </c>
      <c r="I951" s="9">
        <v>188</v>
      </c>
      <c r="J951" s="6">
        <f>IFERROR(Info_Camas[[#This Row],[Lineas]]/Info_Camas[[#This Row],[Cortinas]],"Pendiente")</f>
        <v>20.888888888888889</v>
      </c>
    </row>
    <row r="952" spans="1:10" hidden="1" x14ac:dyDescent="0.25">
      <c r="A952" t="str">
        <f>+_xlfn.CONCAT(Info_Camas[[#This Row],[Bloque]],Info_Camas[[#This Row],[Lado]],Info_Camas[[#This Row],[Cama]])</f>
        <v>05A076</v>
      </c>
      <c r="B952" t="s">
        <v>739</v>
      </c>
      <c r="C952" t="s">
        <v>34</v>
      </c>
      <c r="D952" t="s">
        <v>15</v>
      </c>
      <c r="E952" t="s">
        <v>83</v>
      </c>
      <c r="F952" t="s">
        <v>216</v>
      </c>
      <c r="G952">
        <v>52.04</v>
      </c>
      <c r="H952" s="9">
        <v>9</v>
      </c>
      <c r="I952" s="9">
        <v>184</v>
      </c>
      <c r="J952" s="6">
        <f>IFERROR(Info_Camas[[#This Row],[Lineas]]/Info_Camas[[#This Row],[Cortinas]],"Pendiente")</f>
        <v>20.444444444444443</v>
      </c>
    </row>
    <row r="953" spans="1:10" hidden="1" x14ac:dyDescent="0.25">
      <c r="A953" t="str">
        <f>+_xlfn.CONCAT(Info_Camas[[#This Row],[Bloque]],Info_Camas[[#This Row],[Lado]],Info_Camas[[#This Row],[Cama]])</f>
        <v>05B076</v>
      </c>
      <c r="B953" t="s">
        <v>739</v>
      </c>
      <c r="C953" t="s">
        <v>34</v>
      </c>
      <c r="D953" t="s">
        <v>21</v>
      </c>
      <c r="E953" t="s">
        <v>83</v>
      </c>
      <c r="F953" t="s">
        <v>216</v>
      </c>
      <c r="G953">
        <v>52.04</v>
      </c>
      <c r="H953" s="9">
        <v>9</v>
      </c>
      <c r="I953" s="9">
        <v>188</v>
      </c>
      <c r="J953" s="6">
        <f>IFERROR(Info_Camas[[#This Row],[Lineas]]/Info_Camas[[#This Row],[Cortinas]],"Pendiente")</f>
        <v>20.888888888888889</v>
      </c>
    </row>
    <row r="954" spans="1:10" hidden="1" x14ac:dyDescent="0.25">
      <c r="A954" t="str">
        <f>+_xlfn.CONCAT(Info_Camas[[#This Row],[Bloque]],Info_Camas[[#This Row],[Lado]],Info_Camas[[#This Row],[Cama]])</f>
        <v>05A077</v>
      </c>
      <c r="B954" t="s">
        <v>739</v>
      </c>
      <c r="C954" t="s">
        <v>34</v>
      </c>
      <c r="D954" t="s">
        <v>15</v>
      </c>
      <c r="E954" t="s">
        <v>86</v>
      </c>
      <c r="F954" t="s">
        <v>218</v>
      </c>
      <c r="G954">
        <v>52.04</v>
      </c>
      <c r="H954" s="9">
        <v>9</v>
      </c>
      <c r="I954" s="9">
        <v>186</v>
      </c>
      <c r="J954" s="6">
        <f>IFERROR(Info_Camas[[#This Row],[Lineas]]/Info_Camas[[#This Row],[Cortinas]],"Pendiente")</f>
        <v>20.666666666666668</v>
      </c>
    </row>
    <row r="955" spans="1:10" hidden="1" x14ac:dyDescent="0.25">
      <c r="A955" t="str">
        <f>+_xlfn.CONCAT(Info_Camas[[#This Row],[Bloque]],Info_Camas[[#This Row],[Lado]],Info_Camas[[#This Row],[Cama]])</f>
        <v>05B077</v>
      </c>
      <c r="B955" t="s">
        <v>739</v>
      </c>
      <c r="C955" t="s">
        <v>34</v>
      </c>
      <c r="D955" t="s">
        <v>21</v>
      </c>
      <c r="E955" t="s">
        <v>86</v>
      </c>
      <c r="F955" t="s">
        <v>218</v>
      </c>
      <c r="G955">
        <v>52.04</v>
      </c>
      <c r="H955" s="9">
        <v>9</v>
      </c>
      <c r="I955" s="9">
        <v>188</v>
      </c>
      <c r="J955" s="6">
        <f>IFERROR(Info_Camas[[#This Row],[Lineas]]/Info_Camas[[#This Row],[Cortinas]],"Pendiente")</f>
        <v>20.888888888888889</v>
      </c>
    </row>
    <row r="956" spans="1:10" hidden="1" x14ac:dyDescent="0.25">
      <c r="A956" t="str">
        <f>+_xlfn.CONCAT(Info_Camas[[#This Row],[Bloque]],Info_Camas[[#This Row],[Lado]],Info_Camas[[#This Row],[Cama]])</f>
        <v>05A078</v>
      </c>
      <c r="B956" t="s">
        <v>739</v>
      </c>
      <c r="C956" t="s">
        <v>34</v>
      </c>
      <c r="D956" t="s">
        <v>15</v>
      </c>
      <c r="E956" t="s">
        <v>86</v>
      </c>
      <c r="F956" t="s">
        <v>220</v>
      </c>
      <c r="G956">
        <v>52.04</v>
      </c>
      <c r="H956" s="9">
        <v>9</v>
      </c>
      <c r="I956" s="9">
        <v>187</v>
      </c>
      <c r="J956" s="6">
        <f>IFERROR(Info_Camas[[#This Row],[Lineas]]/Info_Camas[[#This Row],[Cortinas]],"Pendiente")</f>
        <v>20.777777777777779</v>
      </c>
    </row>
    <row r="957" spans="1:10" hidden="1" x14ac:dyDescent="0.25">
      <c r="A957" t="str">
        <f>+_xlfn.CONCAT(Info_Camas[[#This Row],[Bloque]],Info_Camas[[#This Row],[Lado]],Info_Camas[[#This Row],[Cama]])</f>
        <v>05B078</v>
      </c>
      <c r="B957" t="s">
        <v>739</v>
      </c>
      <c r="C957" t="s">
        <v>34</v>
      </c>
      <c r="D957" t="s">
        <v>21</v>
      </c>
      <c r="E957" t="s">
        <v>86</v>
      </c>
      <c r="F957" t="s">
        <v>220</v>
      </c>
      <c r="G957">
        <v>52.04</v>
      </c>
      <c r="H957" s="9">
        <v>9</v>
      </c>
      <c r="I957" s="9">
        <v>189</v>
      </c>
      <c r="J957" s="6">
        <f>IFERROR(Info_Camas[[#This Row],[Lineas]]/Info_Camas[[#This Row],[Cortinas]],"Pendiente")</f>
        <v>21</v>
      </c>
    </row>
    <row r="958" spans="1:10" hidden="1" x14ac:dyDescent="0.25">
      <c r="A958" t="str">
        <f>+_xlfn.CONCAT(Info_Camas[[#This Row],[Bloque]],Info_Camas[[#This Row],[Lado]],Info_Camas[[#This Row],[Cama]])</f>
        <v>05A079</v>
      </c>
      <c r="B958" t="s">
        <v>739</v>
      </c>
      <c r="C958" t="s">
        <v>34</v>
      </c>
      <c r="D958" t="s">
        <v>15</v>
      </c>
      <c r="E958" t="s">
        <v>86</v>
      </c>
      <c r="F958" t="s">
        <v>222</v>
      </c>
      <c r="G958">
        <v>11.560700000000001</v>
      </c>
      <c r="H958" s="9">
        <v>9</v>
      </c>
      <c r="I958" s="9">
        <v>186</v>
      </c>
      <c r="J958" s="6">
        <f>IFERROR(Info_Camas[[#This Row],[Lineas]]/Info_Camas[[#This Row],[Cortinas]],"Pendiente")</f>
        <v>20.666666666666668</v>
      </c>
    </row>
    <row r="959" spans="1:10" hidden="1" x14ac:dyDescent="0.25">
      <c r="A959" t="str">
        <f>+_xlfn.CONCAT(Info_Camas[[#This Row],[Bloque]],Info_Camas[[#This Row],[Lado]],Info_Camas[[#This Row],[Cama]])</f>
        <v>05B079</v>
      </c>
      <c r="B959" t="s">
        <v>739</v>
      </c>
      <c r="C959" t="s">
        <v>34</v>
      </c>
      <c r="D959" t="s">
        <v>21</v>
      </c>
      <c r="E959" t="s">
        <v>86</v>
      </c>
      <c r="F959" t="s">
        <v>222</v>
      </c>
      <c r="G959">
        <v>52.04</v>
      </c>
      <c r="H959" s="9">
        <v>9</v>
      </c>
      <c r="I959" s="9">
        <v>189</v>
      </c>
      <c r="J959" s="6">
        <f>IFERROR(Info_Camas[[#This Row],[Lineas]]/Info_Camas[[#This Row],[Cortinas]],"Pendiente")</f>
        <v>21</v>
      </c>
    </row>
    <row r="960" spans="1:10" hidden="1" x14ac:dyDescent="0.25">
      <c r="A960" t="str">
        <f>+_xlfn.CONCAT(Info_Camas[[#This Row],[Bloque]],Info_Camas[[#This Row],[Lado]],Info_Camas[[#This Row],[Cama]])</f>
        <v>05A080</v>
      </c>
      <c r="B960" t="s">
        <v>739</v>
      </c>
      <c r="C960" t="s">
        <v>34</v>
      </c>
      <c r="D960" t="s">
        <v>15</v>
      </c>
      <c r="E960" t="s">
        <v>86</v>
      </c>
      <c r="F960" t="s">
        <v>224</v>
      </c>
      <c r="G960">
        <v>52.04</v>
      </c>
      <c r="H960" s="9">
        <v>9</v>
      </c>
      <c r="I960" s="9">
        <v>188</v>
      </c>
      <c r="J960" s="6">
        <f>IFERROR(Info_Camas[[#This Row],[Lineas]]/Info_Camas[[#This Row],[Cortinas]],"Pendiente")</f>
        <v>20.888888888888889</v>
      </c>
    </row>
    <row r="961" spans="1:10" hidden="1" x14ac:dyDescent="0.25">
      <c r="A961" t="str">
        <f>+_xlfn.CONCAT(Info_Camas[[#This Row],[Bloque]],Info_Camas[[#This Row],[Lado]],Info_Camas[[#This Row],[Cama]])</f>
        <v>05B080</v>
      </c>
      <c r="B961" t="s">
        <v>739</v>
      </c>
      <c r="C961" t="s">
        <v>34</v>
      </c>
      <c r="D961" t="s">
        <v>21</v>
      </c>
      <c r="E961" t="s">
        <v>86</v>
      </c>
      <c r="F961" t="s">
        <v>224</v>
      </c>
      <c r="G961">
        <v>52.04</v>
      </c>
      <c r="H961" s="9">
        <v>9</v>
      </c>
      <c r="I961" s="9">
        <v>185</v>
      </c>
      <c r="J961" s="6">
        <f>IFERROR(Info_Camas[[#This Row],[Lineas]]/Info_Camas[[#This Row],[Cortinas]],"Pendiente")</f>
        <v>20.555555555555557</v>
      </c>
    </row>
    <row r="962" spans="1:10" hidden="1" x14ac:dyDescent="0.25">
      <c r="A962" t="str">
        <f>+_xlfn.CONCAT(Info_Camas[[#This Row],[Bloque]],Info_Camas[[#This Row],[Lado]],Info_Camas[[#This Row],[Cama]])</f>
        <v>06A001</v>
      </c>
      <c r="B962" t="s">
        <v>739</v>
      </c>
      <c r="C962" t="s">
        <v>39</v>
      </c>
      <c r="D962" t="s">
        <v>15</v>
      </c>
      <c r="E962" t="s">
        <v>14</v>
      </c>
      <c r="F962" t="s">
        <v>16</v>
      </c>
      <c r="G962">
        <v>51.573</v>
      </c>
      <c r="J962" s="6" t="str">
        <f>IFERROR(Info_Camas[[#This Row],[Lineas]]/Info_Camas[[#This Row],[Cortinas]],"Pendiente")</f>
        <v>Pendiente</v>
      </c>
    </row>
    <row r="963" spans="1:10" hidden="1" x14ac:dyDescent="0.25">
      <c r="A963" t="str">
        <f>+_xlfn.CONCAT(Info_Camas[[#This Row],[Bloque]],Info_Camas[[#This Row],[Lado]],Info_Camas[[#This Row],[Cama]])</f>
        <v>06B001</v>
      </c>
      <c r="B963" t="s">
        <v>739</v>
      </c>
      <c r="C963" t="s">
        <v>39</v>
      </c>
      <c r="D963" t="s">
        <v>21</v>
      </c>
      <c r="E963" t="s">
        <v>14</v>
      </c>
      <c r="F963" t="s">
        <v>16</v>
      </c>
      <c r="G963">
        <v>51.573</v>
      </c>
      <c r="J963" s="6" t="str">
        <f>IFERROR(Info_Camas[[#This Row],[Lineas]]/Info_Camas[[#This Row],[Cortinas]],"Pendiente")</f>
        <v>Pendiente</v>
      </c>
    </row>
    <row r="964" spans="1:10" hidden="1" x14ac:dyDescent="0.25">
      <c r="A964" t="str">
        <f>+_xlfn.CONCAT(Info_Camas[[#This Row],[Bloque]],Info_Camas[[#This Row],[Lado]],Info_Camas[[#This Row],[Cama]])</f>
        <v>06A002</v>
      </c>
      <c r="B964" t="s">
        <v>739</v>
      </c>
      <c r="C964" t="s">
        <v>39</v>
      </c>
      <c r="D964" t="s">
        <v>15</v>
      </c>
      <c r="E964" t="s">
        <v>14</v>
      </c>
      <c r="F964" t="s">
        <v>22</v>
      </c>
      <c r="G964">
        <v>51.573</v>
      </c>
      <c r="J964" s="6" t="str">
        <f>IFERROR(Info_Camas[[#This Row],[Lineas]]/Info_Camas[[#This Row],[Cortinas]],"Pendiente")</f>
        <v>Pendiente</v>
      </c>
    </row>
    <row r="965" spans="1:10" hidden="1" x14ac:dyDescent="0.25">
      <c r="A965" t="str">
        <f>+_xlfn.CONCAT(Info_Camas[[#This Row],[Bloque]],Info_Camas[[#This Row],[Lado]],Info_Camas[[#This Row],[Cama]])</f>
        <v>06B002</v>
      </c>
      <c r="B965" t="s">
        <v>739</v>
      </c>
      <c r="C965" t="s">
        <v>39</v>
      </c>
      <c r="D965" t="s">
        <v>21</v>
      </c>
      <c r="E965" t="s">
        <v>14</v>
      </c>
      <c r="F965" t="s">
        <v>22</v>
      </c>
      <c r="G965">
        <v>51.573</v>
      </c>
      <c r="J965" s="6" t="str">
        <f>IFERROR(Info_Camas[[#This Row],[Lineas]]/Info_Camas[[#This Row],[Cortinas]],"Pendiente")</f>
        <v>Pendiente</v>
      </c>
    </row>
    <row r="966" spans="1:10" hidden="1" x14ac:dyDescent="0.25">
      <c r="A966" t="str">
        <f>+_xlfn.CONCAT(Info_Camas[[#This Row],[Bloque]],Info_Camas[[#This Row],[Lado]],Info_Camas[[#This Row],[Cama]])</f>
        <v>06A003</v>
      </c>
      <c r="B966" t="s">
        <v>739</v>
      </c>
      <c r="C966" t="s">
        <v>39</v>
      </c>
      <c r="D966" t="s">
        <v>15</v>
      </c>
      <c r="E966" t="s">
        <v>14</v>
      </c>
      <c r="F966" t="s">
        <v>27</v>
      </c>
      <c r="G966">
        <v>51.573</v>
      </c>
      <c r="J966" s="6" t="str">
        <f>IFERROR(Info_Camas[[#This Row],[Lineas]]/Info_Camas[[#This Row],[Cortinas]],"Pendiente")</f>
        <v>Pendiente</v>
      </c>
    </row>
    <row r="967" spans="1:10" hidden="1" x14ac:dyDescent="0.25">
      <c r="A967" t="str">
        <f>+_xlfn.CONCAT(Info_Camas[[#This Row],[Bloque]],Info_Camas[[#This Row],[Lado]],Info_Camas[[#This Row],[Cama]])</f>
        <v>06B003</v>
      </c>
      <c r="B967" t="s">
        <v>739</v>
      </c>
      <c r="C967" t="s">
        <v>39</v>
      </c>
      <c r="D967" t="s">
        <v>21</v>
      </c>
      <c r="E967" t="s">
        <v>14</v>
      </c>
      <c r="F967" t="s">
        <v>27</v>
      </c>
      <c r="G967">
        <v>51.573</v>
      </c>
      <c r="J967" s="6" t="str">
        <f>IFERROR(Info_Camas[[#This Row],[Lineas]]/Info_Camas[[#This Row],[Cortinas]],"Pendiente")</f>
        <v>Pendiente</v>
      </c>
    </row>
    <row r="968" spans="1:10" hidden="1" x14ac:dyDescent="0.25">
      <c r="A968" t="str">
        <f>+_xlfn.CONCAT(Info_Camas[[#This Row],[Bloque]],Info_Camas[[#This Row],[Lado]],Info_Camas[[#This Row],[Cama]])</f>
        <v>06A004</v>
      </c>
      <c r="B968" t="s">
        <v>739</v>
      </c>
      <c r="C968" t="s">
        <v>39</v>
      </c>
      <c r="D968" t="s">
        <v>15</v>
      </c>
      <c r="E968" t="s">
        <v>14</v>
      </c>
      <c r="F968" t="s">
        <v>31</v>
      </c>
      <c r="G968">
        <v>51.573</v>
      </c>
      <c r="J968" s="6" t="str">
        <f>IFERROR(Info_Camas[[#This Row],[Lineas]]/Info_Camas[[#This Row],[Cortinas]],"Pendiente")</f>
        <v>Pendiente</v>
      </c>
    </row>
    <row r="969" spans="1:10" hidden="1" x14ac:dyDescent="0.25">
      <c r="A969" t="str">
        <f>+_xlfn.CONCAT(Info_Camas[[#This Row],[Bloque]],Info_Camas[[#This Row],[Lado]],Info_Camas[[#This Row],[Cama]])</f>
        <v>06B004</v>
      </c>
      <c r="B969" t="s">
        <v>739</v>
      </c>
      <c r="C969" t="s">
        <v>39</v>
      </c>
      <c r="D969" t="s">
        <v>21</v>
      </c>
      <c r="E969" t="s">
        <v>14</v>
      </c>
      <c r="F969" t="s">
        <v>31</v>
      </c>
      <c r="G969">
        <v>51.573</v>
      </c>
      <c r="J969" s="6" t="str">
        <f>IFERROR(Info_Camas[[#This Row],[Lineas]]/Info_Camas[[#This Row],[Cortinas]],"Pendiente")</f>
        <v>Pendiente</v>
      </c>
    </row>
    <row r="970" spans="1:10" hidden="1" x14ac:dyDescent="0.25">
      <c r="A970" t="str">
        <f>+_xlfn.CONCAT(Info_Camas[[#This Row],[Bloque]],Info_Camas[[#This Row],[Lado]],Info_Camas[[#This Row],[Cama]])</f>
        <v>06A005</v>
      </c>
      <c r="B970" t="s">
        <v>739</v>
      </c>
      <c r="C970" t="s">
        <v>39</v>
      </c>
      <c r="D970" t="s">
        <v>15</v>
      </c>
      <c r="E970" t="s">
        <v>20</v>
      </c>
      <c r="F970" t="s">
        <v>35</v>
      </c>
      <c r="G970">
        <v>51.573</v>
      </c>
      <c r="J970" s="6" t="str">
        <f>IFERROR(Info_Camas[[#This Row],[Lineas]]/Info_Camas[[#This Row],[Cortinas]],"Pendiente")</f>
        <v>Pendiente</v>
      </c>
    </row>
    <row r="971" spans="1:10" hidden="1" x14ac:dyDescent="0.25">
      <c r="A971" t="str">
        <f>+_xlfn.CONCAT(Info_Camas[[#This Row],[Bloque]],Info_Camas[[#This Row],[Lado]],Info_Camas[[#This Row],[Cama]])</f>
        <v>06B005</v>
      </c>
      <c r="B971" t="s">
        <v>739</v>
      </c>
      <c r="C971" t="s">
        <v>39</v>
      </c>
      <c r="D971" t="s">
        <v>21</v>
      </c>
      <c r="E971" t="s">
        <v>20</v>
      </c>
      <c r="F971" t="s">
        <v>35</v>
      </c>
      <c r="G971">
        <v>51.573</v>
      </c>
      <c r="J971" s="6" t="str">
        <f>IFERROR(Info_Camas[[#This Row],[Lineas]]/Info_Camas[[#This Row],[Cortinas]],"Pendiente")</f>
        <v>Pendiente</v>
      </c>
    </row>
    <row r="972" spans="1:10" hidden="1" x14ac:dyDescent="0.25">
      <c r="A972" t="str">
        <f>+_xlfn.CONCAT(Info_Camas[[#This Row],[Bloque]],Info_Camas[[#This Row],[Lado]],Info_Camas[[#This Row],[Cama]])</f>
        <v>06A006</v>
      </c>
      <c r="B972" t="s">
        <v>739</v>
      </c>
      <c r="C972" t="s">
        <v>39</v>
      </c>
      <c r="D972" t="s">
        <v>15</v>
      </c>
      <c r="E972" t="s">
        <v>20</v>
      </c>
      <c r="F972" t="s">
        <v>40</v>
      </c>
      <c r="G972">
        <v>51.573</v>
      </c>
      <c r="J972" s="6" t="str">
        <f>IFERROR(Info_Camas[[#This Row],[Lineas]]/Info_Camas[[#This Row],[Cortinas]],"Pendiente")</f>
        <v>Pendiente</v>
      </c>
    </row>
    <row r="973" spans="1:10" hidden="1" x14ac:dyDescent="0.25">
      <c r="A973" t="str">
        <f>+_xlfn.CONCAT(Info_Camas[[#This Row],[Bloque]],Info_Camas[[#This Row],[Lado]],Info_Camas[[#This Row],[Cama]])</f>
        <v>06B006</v>
      </c>
      <c r="B973" t="s">
        <v>739</v>
      </c>
      <c r="C973" t="s">
        <v>39</v>
      </c>
      <c r="D973" t="s">
        <v>21</v>
      </c>
      <c r="E973" t="s">
        <v>20</v>
      </c>
      <c r="F973" t="s">
        <v>40</v>
      </c>
      <c r="G973">
        <v>51.573</v>
      </c>
      <c r="J973" s="6" t="str">
        <f>IFERROR(Info_Camas[[#This Row],[Lineas]]/Info_Camas[[#This Row],[Cortinas]],"Pendiente")</f>
        <v>Pendiente</v>
      </c>
    </row>
    <row r="974" spans="1:10" hidden="1" x14ac:dyDescent="0.25">
      <c r="A974" t="str">
        <f>+_xlfn.CONCAT(Info_Camas[[#This Row],[Bloque]],Info_Camas[[#This Row],[Lado]],Info_Camas[[#This Row],[Cama]])</f>
        <v>06A007</v>
      </c>
      <c r="B974" t="s">
        <v>739</v>
      </c>
      <c r="C974" t="s">
        <v>39</v>
      </c>
      <c r="D974" t="s">
        <v>15</v>
      </c>
      <c r="E974" t="s">
        <v>20</v>
      </c>
      <c r="F974" t="s">
        <v>43</v>
      </c>
      <c r="G974">
        <v>51.573</v>
      </c>
      <c r="J974" s="6" t="str">
        <f>IFERROR(Info_Camas[[#This Row],[Lineas]]/Info_Camas[[#This Row],[Cortinas]],"Pendiente")</f>
        <v>Pendiente</v>
      </c>
    </row>
    <row r="975" spans="1:10" hidden="1" x14ac:dyDescent="0.25">
      <c r="A975" t="str">
        <f>+_xlfn.CONCAT(Info_Camas[[#This Row],[Bloque]],Info_Camas[[#This Row],[Lado]],Info_Camas[[#This Row],[Cama]])</f>
        <v>06B007</v>
      </c>
      <c r="B975" t="s">
        <v>739</v>
      </c>
      <c r="C975" t="s">
        <v>39</v>
      </c>
      <c r="D975" t="s">
        <v>21</v>
      </c>
      <c r="E975" t="s">
        <v>20</v>
      </c>
      <c r="F975" t="s">
        <v>43</v>
      </c>
      <c r="G975">
        <v>51.573</v>
      </c>
      <c r="J975" s="6" t="str">
        <f>IFERROR(Info_Camas[[#This Row],[Lineas]]/Info_Camas[[#This Row],[Cortinas]],"Pendiente")</f>
        <v>Pendiente</v>
      </c>
    </row>
    <row r="976" spans="1:10" hidden="1" x14ac:dyDescent="0.25">
      <c r="A976" t="str">
        <f>+_xlfn.CONCAT(Info_Camas[[#This Row],[Bloque]],Info_Camas[[#This Row],[Lado]],Info_Camas[[#This Row],[Cama]])</f>
        <v>06A008</v>
      </c>
      <c r="B976" t="s">
        <v>739</v>
      </c>
      <c r="C976" t="s">
        <v>39</v>
      </c>
      <c r="D976" t="s">
        <v>15</v>
      </c>
      <c r="E976" t="s">
        <v>20</v>
      </c>
      <c r="F976" t="s">
        <v>48</v>
      </c>
      <c r="G976">
        <v>51.573</v>
      </c>
      <c r="J976" s="6" t="str">
        <f>IFERROR(Info_Camas[[#This Row],[Lineas]]/Info_Camas[[#This Row],[Cortinas]],"Pendiente")</f>
        <v>Pendiente</v>
      </c>
    </row>
    <row r="977" spans="1:10" hidden="1" x14ac:dyDescent="0.25">
      <c r="A977" t="str">
        <f>+_xlfn.CONCAT(Info_Camas[[#This Row],[Bloque]],Info_Camas[[#This Row],[Lado]],Info_Camas[[#This Row],[Cama]])</f>
        <v>06B008</v>
      </c>
      <c r="B977" t="s">
        <v>739</v>
      </c>
      <c r="C977" t="s">
        <v>39</v>
      </c>
      <c r="D977" t="s">
        <v>21</v>
      </c>
      <c r="E977" t="s">
        <v>20</v>
      </c>
      <c r="F977" t="s">
        <v>48</v>
      </c>
      <c r="G977">
        <v>51.573</v>
      </c>
      <c r="J977" s="6" t="str">
        <f>IFERROR(Info_Camas[[#This Row],[Lineas]]/Info_Camas[[#This Row],[Cortinas]],"Pendiente")</f>
        <v>Pendiente</v>
      </c>
    </row>
    <row r="978" spans="1:10" hidden="1" x14ac:dyDescent="0.25">
      <c r="A978" t="str">
        <f>+_xlfn.CONCAT(Info_Camas[[#This Row],[Bloque]],Info_Camas[[#This Row],[Lado]],Info_Camas[[#This Row],[Cama]])</f>
        <v>06A009</v>
      </c>
      <c r="B978" t="s">
        <v>739</v>
      </c>
      <c r="C978" t="s">
        <v>39</v>
      </c>
      <c r="D978" t="s">
        <v>15</v>
      </c>
      <c r="E978" t="s">
        <v>26</v>
      </c>
      <c r="F978" t="s">
        <v>52</v>
      </c>
      <c r="G978">
        <v>51.573</v>
      </c>
      <c r="J978" s="6" t="str">
        <f>IFERROR(Info_Camas[[#This Row],[Lineas]]/Info_Camas[[#This Row],[Cortinas]],"Pendiente")</f>
        <v>Pendiente</v>
      </c>
    </row>
    <row r="979" spans="1:10" hidden="1" x14ac:dyDescent="0.25">
      <c r="A979" t="str">
        <f>+_xlfn.CONCAT(Info_Camas[[#This Row],[Bloque]],Info_Camas[[#This Row],[Lado]],Info_Camas[[#This Row],[Cama]])</f>
        <v>06B009</v>
      </c>
      <c r="B979" t="s">
        <v>739</v>
      </c>
      <c r="C979" t="s">
        <v>39</v>
      </c>
      <c r="D979" t="s">
        <v>21</v>
      </c>
      <c r="E979" t="s">
        <v>26</v>
      </c>
      <c r="F979" t="s">
        <v>52</v>
      </c>
      <c r="G979">
        <v>51.573</v>
      </c>
      <c r="J979" s="6" t="str">
        <f>IFERROR(Info_Camas[[#This Row],[Lineas]]/Info_Camas[[#This Row],[Cortinas]],"Pendiente")</f>
        <v>Pendiente</v>
      </c>
    </row>
    <row r="980" spans="1:10" hidden="1" x14ac:dyDescent="0.25">
      <c r="A980" t="str">
        <f>+_xlfn.CONCAT(Info_Camas[[#This Row],[Bloque]],Info_Camas[[#This Row],[Lado]],Info_Camas[[#This Row],[Cama]])</f>
        <v>06A010</v>
      </c>
      <c r="B980" t="s">
        <v>739</v>
      </c>
      <c r="C980" t="s">
        <v>39</v>
      </c>
      <c r="D980" t="s">
        <v>15</v>
      </c>
      <c r="E980" t="s">
        <v>26</v>
      </c>
      <c r="F980" t="s">
        <v>55</v>
      </c>
      <c r="G980">
        <v>51.573</v>
      </c>
      <c r="J980" s="6" t="str">
        <f>IFERROR(Info_Camas[[#This Row],[Lineas]]/Info_Camas[[#This Row],[Cortinas]],"Pendiente")</f>
        <v>Pendiente</v>
      </c>
    </row>
    <row r="981" spans="1:10" hidden="1" x14ac:dyDescent="0.25">
      <c r="A981" t="str">
        <f>+_xlfn.CONCAT(Info_Camas[[#This Row],[Bloque]],Info_Camas[[#This Row],[Lado]],Info_Camas[[#This Row],[Cama]])</f>
        <v>06B010</v>
      </c>
      <c r="B981" t="s">
        <v>739</v>
      </c>
      <c r="C981" t="s">
        <v>39</v>
      </c>
      <c r="D981" t="s">
        <v>21</v>
      </c>
      <c r="E981" t="s">
        <v>26</v>
      </c>
      <c r="F981" t="s">
        <v>55</v>
      </c>
      <c r="G981">
        <v>51.573</v>
      </c>
      <c r="J981" s="6" t="str">
        <f>IFERROR(Info_Camas[[#This Row],[Lineas]]/Info_Camas[[#This Row],[Cortinas]],"Pendiente")</f>
        <v>Pendiente</v>
      </c>
    </row>
    <row r="982" spans="1:10" hidden="1" x14ac:dyDescent="0.25">
      <c r="A982" t="str">
        <f>+_xlfn.CONCAT(Info_Camas[[#This Row],[Bloque]],Info_Camas[[#This Row],[Lado]],Info_Camas[[#This Row],[Cama]])</f>
        <v>06A011</v>
      </c>
      <c r="B982" t="s">
        <v>739</v>
      </c>
      <c r="C982" t="s">
        <v>39</v>
      </c>
      <c r="D982" t="s">
        <v>15</v>
      </c>
      <c r="E982" t="s">
        <v>26</v>
      </c>
      <c r="F982" t="s">
        <v>58</v>
      </c>
      <c r="G982">
        <v>51.573</v>
      </c>
      <c r="J982" s="6" t="str">
        <f>IFERROR(Info_Camas[[#This Row],[Lineas]]/Info_Camas[[#This Row],[Cortinas]],"Pendiente")</f>
        <v>Pendiente</v>
      </c>
    </row>
    <row r="983" spans="1:10" hidden="1" x14ac:dyDescent="0.25">
      <c r="A983" t="str">
        <f>+_xlfn.CONCAT(Info_Camas[[#This Row],[Bloque]],Info_Camas[[#This Row],[Lado]],Info_Camas[[#This Row],[Cama]])</f>
        <v>06B011</v>
      </c>
      <c r="B983" t="s">
        <v>739</v>
      </c>
      <c r="C983" t="s">
        <v>39</v>
      </c>
      <c r="D983" t="s">
        <v>21</v>
      </c>
      <c r="E983" t="s">
        <v>26</v>
      </c>
      <c r="F983" t="s">
        <v>58</v>
      </c>
      <c r="G983">
        <v>51.573</v>
      </c>
      <c r="J983" s="6" t="str">
        <f>IFERROR(Info_Camas[[#This Row],[Lineas]]/Info_Camas[[#This Row],[Cortinas]],"Pendiente")</f>
        <v>Pendiente</v>
      </c>
    </row>
    <row r="984" spans="1:10" hidden="1" x14ac:dyDescent="0.25">
      <c r="A984" t="str">
        <f>+_xlfn.CONCAT(Info_Camas[[#This Row],[Bloque]],Info_Camas[[#This Row],[Lado]],Info_Camas[[#This Row],[Cama]])</f>
        <v>06A012</v>
      </c>
      <c r="B984" t="s">
        <v>739</v>
      </c>
      <c r="C984" t="s">
        <v>39</v>
      </c>
      <c r="D984" t="s">
        <v>15</v>
      </c>
      <c r="E984" t="s">
        <v>26</v>
      </c>
      <c r="F984" t="s">
        <v>62</v>
      </c>
      <c r="G984">
        <v>51.573</v>
      </c>
      <c r="J984" s="6" t="str">
        <f>IFERROR(Info_Camas[[#This Row],[Lineas]]/Info_Camas[[#This Row],[Cortinas]],"Pendiente")</f>
        <v>Pendiente</v>
      </c>
    </row>
    <row r="985" spans="1:10" hidden="1" x14ac:dyDescent="0.25">
      <c r="A985" t="str">
        <f>+_xlfn.CONCAT(Info_Camas[[#This Row],[Bloque]],Info_Camas[[#This Row],[Lado]],Info_Camas[[#This Row],[Cama]])</f>
        <v>06B012</v>
      </c>
      <c r="B985" t="s">
        <v>739</v>
      </c>
      <c r="C985" t="s">
        <v>39</v>
      </c>
      <c r="D985" t="s">
        <v>21</v>
      </c>
      <c r="E985" t="s">
        <v>26</v>
      </c>
      <c r="F985" t="s">
        <v>62</v>
      </c>
      <c r="G985">
        <v>51.573</v>
      </c>
      <c r="J985" s="6" t="str">
        <f>IFERROR(Info_Camas[[#This Row],[Lineas]]/Info_Camas[[#This Row],[Cortinas]],"Pendiente")</f>
        <v>Pendiente</v>
      </c>
    </row>
    <row r="986" spans="1:10" hidden="1" x14ac:dyDescent="0.25">
      <c r="A986" t="str">
        <f>+_xlfn.CONCAT(Info_Camas[[#This Row],[Bloque]],Info_Camas[[#This Row],[Lado]],Info_Camas[[#This Row],[Cama]])</f>
        <v>06A013</v>
      </c>
      <c r="B986" t="s">
        <v>739</v>
      </c>
      <c r="C986" t="s">
        <v>39</v>
      </c>
      <c r="D986" t="s">
        <v>15</v>
      </c>
      <c r="E986" t="s">
        <v>30</v>
      </c>
      <c r="F986" t="s">
        <v>65</v>
      </c>
      <c r="G986">
        <v>51.573</v>
      </c>
      <c r="J986" s="6" t="str">
        <f>IFERROR(Info_Camas[[#This Row],[Lineas]]/Info_Camas[[#This Row],[Cortinas]],"Pendiente")</f>
        <v>Pendiente</v>
      </c>
    </row>
    <row r="987" spans="1:10" hidden="1" x14ac:dyDescent="0.25">
      <c r="A987" t="str">
        <f>+_xlfn.CONCAT(Info_Camas[[#This Row],[Bloque]],Info_Camas[[#This Row],[Lado]],Info_Camas[[#This Row],[Cama]])</f>
        <v>06B013</v>
      </c>
      <c r="B987" t="s">
        <v>739</v>
      </c>
      <c r="C987" t="s">
        <v>39</v>
      </c>
      <c r="D987" t="s">
        <v>21</v>
      </c>
      <c r="E987" t="s">
        <v>30</v>
      </c>
      <c r="F987" t="s">
        <v>65</v>
      </c>
      <c r="G987">
        <v>51.573</v>
      </c>
      <c r="J987" s="6" t="str">
        <f>IFERROR(Info_Camas[[#This Row],[Lineas]]/Info_Camas[[#This Row],[Cortinas]],"Pendiente")</f>
        <v>Pendiente</v>
      </c>
    </row>
    <row r="988" spans="1:10" hidden="1" x14ac:dyDescent="0.25">
      <c r="A988" t="str">
        <f>+_xlfn.CONCAT(Info_Camas[[#This Row],[Bloque]],Info_Camas[[#This Row],[Lado]],Info_Camas[[#This Row],[Cama]])</f>
        <v>06A014</v>
      </c>
      <c r="B988" t="s">
        <v>739</v>
      </c>
      <c r="C988" t="s">
        <v>39</v>
      </c>
      <c r="D988" t="s">
        <v>15</v>
      </c>
      <c r="E988" t="s">
        <v>30</v>
      </c>
      <c r="F988" t="s">
        <v>68</v>
      </c>
      <c r="G988">
        <v>51.573</v>
      </c>
      <c r="J988" s="6" t="str">
        <f>IFERROR(Info_Camas[[#This Row],[Lineas]]/Info_Camas[[#This Row],[Cortinas]],"Pendiente")</f>
        <v>Pendiente</v>
      </c>
    </row>
    <row r="989" spans="1:10" hidden="1" x14ac:dyDescent="0.25">
      <c r="A989" t="str">
        <f>+_xlfn.CONCAT(Info_Camas[[#This Row],[Bloque]],Info_Camas[[#This Row],[Lado]],Info_Camas[[#This Row],[Cama]])</f>
        <v>06B014</v>
      </c>
      <c r="B989" t="s">
        <v>739</v>
      </c>
      <c r="C989" t="s">
        <v>39</v>
      </c>
      <c r="D989" t="s">
        <v>21</v>
      </c>
      <c r="E989" t="s">
        <v>30</v>
      </c>
      <c r="F989" t="s">
        <v>68</v>
      </c>
      <c r="G989">
        <v>51.573</v>
      </c>
      <c r="J989" s="6" t="str">
        <f>IFERROR(Info_Camas[[#This Row],[Lineas]]/Info_Camas[[#This Row],[Cortinas]],"Pendiente")</f>
        <v>Pendiente</v>
      </c>
    </row>
    <row r="990" spans="1:10" hidden="1" x14ac:dyDescent="0.25">
      <c r="A990" t="str">
        <f>+_xlfn.CONCAT(Info_Camas[[#This Row],[Bloque]],Info_Camas[[#This Row],[Lado]],Info_Camas[[#This Row],[Cama]])</f>
        <v>06A015</v>
      </c>
      <c r="B990" t="s">
        <v>739</v>
      </c>
      <c r="C990" t="s">
        <v>39</v>
      </c>
      <c r="D990" t="s">
        <v>15</v>
      </c>
      <c r="E990" t="s">
        <v>30</v>
      </c>
      <c r="F990" t="s">
        <v>72</v>
      </c>
      <c r="G990">
        <v>51.573</v>
      </c>
      <c r="J990" s="6" t="str">
        <f>IFERROR(Info_Camas[[#This Row],[Lineas]]/Info_Camas[[#This Row],[Cortinas]],"Pendiente")</f>
        <v>Pendiente</v>
      </c>
    </row>
    <row r="991" spans="1:10" hidden="1" x14ac:dyDescent="0.25">
      <c r="A991" t="str">
        <f>+_xlfn.CONCAT(Info_Camas[[#This Row],[Bloque]],Info_Camas[[#This Row],[Lado]],Info_Camas[[#This Row],[Cama]])</f>
        <v>06B015</v>
      </c>
      <c r="B991" t="s">
        <v>739</v>
      </c>
      <c r="C991" t="s">
        <v>39</v>
      </c>
      <c r="D991" t="s">
        <v>21</v>
      </c>
      <c r="E991" t="s">
        <v>30</v>
      </c>
      <c r="F991" t="s">
        <v>72</v>
      </c>
      <c r="G991">
        <v>51.573</v>
      </c>
      <c r="J991" s="6" t="str">
        <f>IFERROR(Info_Camas[[#This Row],[Lineas]]/Info_Camas[[#This Row],[Cortinas]],"Pendiente")</f>
        <v>Pendiente</v>
      </c>
    </row>
    <row r="992" spans="1:10" hidden="1" x14ac:dyDescent="0.25">
      <c r="A992" t="str">
        <f>+_xlfn.CONCAT(Info_Camas[[#This Row],[Bloque]],Info_Camas[[#This Row],[Lado]],Info_Camas[[#This Row],[Cama]])</f>
        <v>06A016</v>
      </c>
      <c r="B992" t="s">
        <v>739</v>
      </c>
      <c r="C992" t="s">
        <v>39</v>
      </c>
      <c r="D992" t="s">
        <v>15</v>
      </c>
      <c r="E992" t="s">
        <v>30</v>
      </c>
      <c r="F992" t="s">
        <v>75</v>
      </c>
      <c r="G992">
        <v>51.573</v>
      </c>
      <c r="J992" s="6" t="str">
        <f>IFERROR(Info_Camas[[#This Row],[Lineas]]/Info_Camas[[#This Row],[Cortinas]],"Pendiente")</f>
        <v>Pendiente</v>
      </c>
    </row>
    <row r="993" spans="1:10" hidden="1" x14ac:dyDescent="0.25">
      <c r="A993" t="str">
        <f>+_xlfn.CONCAT(Info_Camas[[#This Row],[Bloque]],Info_Camas[[#This Row],[Lado]],Info_Camas[[#This Row],[Cama]])</f>
        <v>06B016</v>
      </c>
      <c r="B993" t="s">
        <v>739</v>
      </c>
      <c r="C993" t="s">
        <v>39</v>
      </c>
      <c r="D993" t="s">
        <v>21</v>
      </c>
      <c r="E993" t="s">
        <v>30</v>
      </c>
      <c r="F993" t="s">
        <v>75</v>
      </c>
      <c r="G993">
        <v>51.573</v>
      </c>
      <c r="J993" s="6" t="str">
        <f>IFERROR(Info_Camas[[#This Row],[Lineas]]/Info_Camas[[#This Row],[Cortinas]],"Pendiente")</f>
        <v>Pendiente</v>
      </c>
    </row>
    <row r="994" spans="1:10" hidden="1" x14ac:dyDescent="0.25">
      <c r="A994" t="str">
        <f>+_xlfn.CONCAT(Info_Camas[[#This Row],[Bloque]],Info_Camas[[#This Row],[Lado]],Info_Camas[[#This Row],[Cama]])</f>
        <v>06A017</v>
      </c>
      <c r="B994" t="s">
        <v>739</v>
      </c>
      <c r="C994" t="s">
        <v>39</v>
      </c>
      <c r="D994" t="s">
        <v>15</v>
      </c>
      <c r="E994" t="s">
        <v>34</v>
      </c>
      <c r="F994" t="s">
        <v>78</v>
      </c>
      <c r="G994">
        <v>51.573</v>
      </c>
      <c r="J994" s="6" t="str">
        <f>IFERROR(Info_Camas[[#This Row],[Lineas]]/Info_Camas[[#This Row],[Cortinas]],"Pendiente")</f>
        <v>Pendiente</v>
      </c>
    </row>
    <row r="995" spans="1:10" hidden="1" x14ac:dyDescent="0.25">
      <c r="A995" t="str">
        <f>+_xlfn.CONCAT(Info_Camas[[#This Row],[Bloque]],Info_Camas[[#This Row],[Lado]],Info_Camas[[#This Row],[Cama]])</f>
        <v>06B017</v>
      </c>
      <c r="B995" t="s">
        <v>739</v>
      </c>
      <c r="C995" t="s">
        <v>39</v>
      </c>
      <c r="D995" t="s">
        <v>21</v>
      </c>
      <c r="E995" t="s">
        <v>34</v>
      </c>
      <c r="F995" t="s">
        <v>78</v>
      </c>
      <c r="G995">
        <v>51.573</v>
      </c>
      <c r="J995" s="6" t="str">
        <f>IFERROR(Info_Camas[[#This Row],[Lineas]]/Info_Camas[[#This Row],[Cortinas]],"Pendiente")</f>
        <v>Pendiente</v>
      </c>
    </row>
    <row r="996" spans="1:10" hidden="1" x14ac:dyDescent="0.25">
      <c r="A996" t="str">
        <f>+_xlfn.CONCAT(Info_Camas[[#This Row],[Bloque]],Info_Camas[[#This Row],[Lado]],Info_Camas[[#This Row],[Cama]])</f>
        <v>06A018</v>
      </c>
      <c r="B996" t="s">
        <v>739</v>
      </c>
      <c r="C996" t="s">
        <v>39</v>
      </c>
      <c r="D996" t="s">
        <v>15</v>
      </c>
      <c r="E996" t="s">
        <v>34</v>
      </c>
      <c r="F996" t="s">
        <v>81</v>
      </c>
      <c r="G996">
        <v>18.6236</v>
      </c>
      <c r="J996" s="6" t="str">
        <f>IFERROR(Info_Camas[[#This Row],[Lineas]]/Info_Camas[[#This Row],[Cortinas]],"Pendiente")</f>
        <v>Pendiente</v>
      </c>
    </row>
    <row r="997" spans="1:10" hidden="1" x14ac:dyDescent="0.25">
      <c r="A997" t="str">
        <f>+_xlfn.CONCAT(Info_Camas[[#This Row],[Bloque]],Info_Camas[[#This Row],[Lado]],Info_Camas[[#This Row],[Cama]])</f>
        <v>06B018</v>
      </c>
      <c r="B997" t="s">
        <v>739</v>
      </c>
      <c r="C997" t="s">
        <v>39</v>
      </c>
      <c r="D997" t="s">
        <v>21</v>
      </c>
      <c r="E997" t="s">
        <v>34</v>
      </c>
      <c r="F997" t="s">
        <v>81</v>
      </c>
      <c r="G997">
        <v>51.573</v>
      </c>
      <c r="J997" s="6" t="str">
        <f>IFERROR(Info_Camas[[#This Row],[Lineas]]/Info_Camas[[#This Row],[Cortinas]],"Pendiente")</f>
        <v>Pendiente</v>
      </c>
    </row>
    <row r="998" spans="1:10" hidden="1" x14ac:dyDescent="0.25">
      <c r="A998" t="str">
        <f>+_xlfn.CONCAT(Info_Camas[[#This Row],[Bloque]],Info_Camas[[#This Row],[Lado]],Info_Camas[[#This Row],[Cama]])</f>
        <v>06A019</v>
      </c>
      <c r="B998" t="s">
        <v>739</v>
      </c>
      <c r="C998" t="s">
        <v>39</v>
      </c>
      <c r="D998" t="s">
        <v>15</v>
      </c>
      <c r="E998" t="s">
        <v>34</v>
      </c>
      <c r="F998" t="s">
        <v>84</v>
      </c>
      <c r="G998">
        <v>51.573</v>
      </c>
      <c r="J998" s="6" t="str">
        <f>IFERROR(Info_Camas[[#This Row],[Lineas]]/Info_Camas[[#This Row],[Cortinas]],"Pendiente")</f>
        <v>Pendiente</v>
      </c>
    </row>
    <row r="999" spans="1:10" hidden="1" x14ac:dyDescent="0.25">
      <c r="A999" t="str">
        <f>+_xlfn.CONCAT(Info_Camas[[#This Row],[Bloque]],Info_Camas[[#This Row],[Lado]],Info_Camas[[#This Row],[Cama]])</f>
        <v>06B019</v>
      </c>
      <c r="B999" t="s">
        <v>739</v>
      </c>
      <c r="C999" t="s">
        <v>39</v>
      </c>
      <c r="D999" t="s">
        <v>21</v>
      </c>
      <c r="E999" t="s">
        <v>34</v>
      </c>
      <c r="F999" t="s">
        <v>84</v>
      </c>
      <c r="G999">
        <v>51.573</v>
      </c>
      <c r="J999" s="6" t="str">
        <f>IFERROR(Info_Camas[[#This Row],[Lineas]]/Info_Camas[[#This Row],[Cortinas]],"Pendiente")</f>
        <v>Pendiente</v>
      </c>
    </row>
    <row r="1000" spans="1:10" hidden="1" x14ac:dyDescent="0.25">
      <c r="A1000" t="str">
        <f>+_xlfn.CONCAT(Info_Camas[[#This Row],[Bloque]],Info_Camas[[#This Row],[Lado]],Info_Camas[[#This Row],[Cama]])</f>
        <v>06A020</v>
      </c>
      <c r="B1000" t="s">
        <v>739</v>
      </c>
      <c r="C1000" t="s">
        <v>39</v>
      </c>
      <c r="D1000" t="s">
        <v>15</v>
      </c>
      <c r="E1000" t="s">
        <v>34</v>
      </c>
      <c r="F1000" t="s">
        <v>87</v>
      </c>
      <c r="G1000">
        <v>51.573</v>
      </c>
      <c r="J1000" s="6" t="str">
        <f>IFERROR(Info_Camas[[#This Row],[Lineas]]/Info_Camas[[#This Row],[Cortinas]],"Pendiente")</f>
        <v>Pendiente</v>
      </c>
    </row>
    <row r="1001" spans="1:10" hidden="1" x14ac:dyDescent="0.25">
      <c r="A1001" t="str">
        <f>+_xlfn.CONCAT(Info_Camas[[#This Row],[Bloque]],Info_Camas[[#This Row],[Lado]],Info_Camas[[#This Row],[Cama]])</f>
        <v>06B020</v>
      </c>
      <c r="B1001" t="s">
        <v>739</v>
      </c>
      <c r="C1001" t="s">
        <v>39</v>
      </c>
      <c r="D1001" t="s">
        <v>21</v>
      </c>
      <c r="E1001" t="s">
        <v>34</v>
      </c>
      <c r="F1001" t="s">
        <v>87</v>
      </c>
      <c r="G1001">
        <v>51.573</v>
      </c>
      <c r="J1001" s="6" t="str">
        <f>IFERROR(Info_Camas[[#This Row],[Lineas]]/Info_Camas[[#This Row],[Cortinas]],"Pendiente")</f>
        <v>Pendiente</v>
      </c>
    </row>
    <row r="1002" spans="1:10" hidden="1" x14ac:dyDescent="0.25">
      <c r="A1002" t="str">
        <f>+_xlfn.CONCAT(Info_Camas[[#This Row],[Bloque]],Info_Camas[[#This Row],[Lado]],Info_Camas[[#This Row],[Cama]])</f>
        <v>06A021</v>
      </c>
      <c r="B1002" t="s">
        <v>739</v>
      </c>
      <c r="C1002" t="s">
        <v>39</v>
      </c>
      <c r="D1002" t="s">
        <v>15</v>
      </c>
      <c r="E1002" t="s">
        <v>39</v>
      </c>
      <c r="F1002" t="s">
        <v>90</v>
      </c>
      <c r="G1002">
        <v>51.573</v>
      </c>
      <c r="J1002" s="6" t="str">
        <f>IFERROR(Info_Camas[[#This Row],[Lineas]]/Info_Camas[[#This Row],[Cortinas]],"Pendiente")</f>
        <v>Pendiente</v>
      </c>
    </row>
    <row r="1003" spans="1:10" hidden="1" x14ac:dyDescent="0.25">
      <c r="A1003" t="str">
        <f>+_xlfn.CONCAT(Info_Camas[[#This Row],[Bloque]],Info_Camas[[#This Row],[Lado]],Info_Camas[[#This Row],[Cama]])</f>
        <v>06B021</v>
      </c>
      <c r="B1003" t="s">
        <v>739</v>
      </c>
      <c r="C1003" t="s">
        <v>39</v>
      </c>
      <c r="D1003" t="s">
        <v>21</v>
      </c>
      <c r="E1003" t="s">
        <v>39</v>
      </c>
      <c r="F1003" t="s">
        <v>90</v>
      </c>
      <c r="G1003">
        <v>7.5521000000000003</v>
      </c>
      <c r="J1003" s="6" t="str">
        <f>IFERROR(Info_Camas[[#This Row],[Lineas]]/Info_Camas[[#This Row],[Cortinas]],"Pendiente")</f>
        <v>Pendiente</v>
      </c>
    </row>
    <row r="1004" spans="1:10" hidden="1" x14ac:dyDescent="0.25">
      <c r="A1004" t="str">
        <f>+_xlfn.CONCAT(Info_Camas[[#This Row],[Bloque]],Info_Camas[[#This Row],[Lado]],Info_Camas[[#This Row],[Cama]])</f>
        <v>06A022</v>
      </c>
      <c r="B1004" t="s">
        <v>739</v>
      </c>
      <c r="C1004" t="s">
        <v>39</v>
      </c>
      <c r="D1004" t="s">
        <v>15</v>
      </c>
      <c r="E1004" t="s">
        <v>39</v>
      </c>
      <c r="F1004" t="s">
        <v>94</v>
      </c>
      <c r="G1004">
        <v>51.573</v>
      </c>
      <c r="J1004" s="6" t="str">
        <f>IFERROR(Info_Camas[[#This Row],[Lineas]]/Info_Camas[[#This Row],[Cortinas]],"Pendiente")</f>
        <v>Pendiente</v>
      </c>
    </row>
    <row r="1005" spans="1:10" hidden="1" x14ac:dyDescent="0.25">
      <c r="A1005" t="str">
        <f>+_xlfn.CONCAT(Info_Camas[[#This Row],[Bloque]],Info_Camas[[#This Row],[Lado]],Info_Camas[[#This Row],[Cama]])</f>
        <v>06B022</v>
      </c>
      <c r="B1005" t="s">
        <v>739</v>
      </c>
      <c r="C1005" t="s">
        <v>39</v>
      </c>
      <c r="D1005" t="s">
        <v>21</v>
      </c>
      <c r="E1005" t="s">
        <v>39</v>
      </c>
      <c r="F1005" t="s">
        <v>94</v>
      </c>
      <c r="G1005">
        <v>51.573</v>
      </c>
      <c r="J1005" s="6" t="str">
        <f>IFERROR(Info_Camas[[#This Row],[Lineas]]/Info_Camas[[#This Row],[Cortinas]],"Pendiente")</f>
        <v>Pendiente</v>
      </c>
    </row>
    <row r="1006" spans="1:10" hidden="1" x14ac:dyDescent="0.25">
      <c r="A1006" t="str">
        <f>+_xlfn.CONCAT(Info_Camas[[#This Row],[Bloque]],Info_Camas[[#This Row],[Lado]],Info_Camas[[#This Row],[Cama]])</f>
        <v>06A023</v>
      </c>
      <c r="B1006" t="s">
        <v>739</v>
      </c>
      <c r="C1006" t="s">
        <v>39</v>
      </c>
      <c r="D1006" t="s">
        <v>15</v>
      </c>
      <c r="E1006" t="s">
        <v>39</v>
      </c>
      <c r="F1006" t="s">
        <v>97</v>
      </c>
      <c r="G1006">
        <v>51.573</v>
      </c>
      <c r="J1006" s="6" t="str">
        <f>IFERROR(Info_Camas[[#This Row],[Lineas]]/Info_Camas[[#This Row],[Cortinas]],"Pendiente")</f>
        <v>Pendiente</v>
      </c>
    </row>
    <row r="1007" spans="1:10" hidden="1" x14ac:dyDescent="0.25">
      <c r="A1007" t="str">
        <f>+_xlfn.CONCAT(Info_Camas[[#This Row],[Bloque]],Info_Camas[[#This Row],[Lado]],Info_Camas[[#This Row],[Cama]])</f>
        <v>06B023</v>
      </c>
      <c r="B1007" t="s">
        <v>739</v>
      </c>
      <c r="C1007" t="s">
        <v>39</v>
      </c>
      <c r="D1007" t="s">
        <v>21</v>
      </c>
      <c r="E1007" t="s">
        <v>39</v>
      </c>
      <c r="F1007" t="s">
        <v>97</v>
      </c>
      <c r="G1007">
        <v>51.573</v>
      </c>
      <c r="J1007" s="6" t="str">
        <f>IFERROR(Info_Camas[[#This Row],[Lineas]]/Info_Camas[[#This Row],[Cortinas]],"Pendiente")</f>
        <v>Pendiente</v>
      </c>
    </row>
    <row r="1008" spans="1:10" hidden="1" x14ac:dyDescent="0.25">
      <c r="A1008" t="str">
        <f>+_xlfn.CONCAT(Info_Camas[[#This Row],[Bloque]],Info_Camas[[#This Row],[Lado]],Info_Camas[[#This Row],[Cama]])</f>
        <v>06A024</v>
      </c>
      <c r="B1008" t="s">
        <v>739</v>
      </c>
      <c r="C1008" t="s">
        <v>39</v>
      </c>
      <c r="D1008" t="s">
        <v>15</v>
      </c>
      <c r="E1008" t="s">
        <v>39</v>
      </c>
      <c r="F1008" t="s">
        <v>100</v>
      </c>
      <c r="G1008">
        <v>51.573</v>
      </c>
      <c r="J1008" s="6" t="str">
        <f>IFERROR(Info_Camas[[#This Row],[Lineas]]/Info_Camas[[#This Row],[Cortinas]],"Pendiente")</f>
        <v>Pendiente</v>
      </c>
    </row>
    <row r="1009" spans="1:10" hidden="1" x14ac:dyDescent="0.25">
      <c r="A1009" t="str">
        <f>+_xlfn.CONCAT(Info_Camas[[#This Row],[Bloque]],Info_Camas[[#This Row],[Lado]],Info_Camas[[#This Row],[Cama]])</f>
        <v>06B024</v>
      </c>
      <c r="B1009" t="s">
        <v>739</v>
      </c>
      <c r="C1009" t="s">
        <v>39</v>
      </c>
      <c r="D1009" t="s">
        <v>21</v>
      </c>
      <c r="E1009" t="s">
        <v>39</v>
      </c>
      <c r="F1009" t="s">
        <v>100</v>
      </c>
      <c r="G1009">
        <v>41.490200000000002</v>
      </c>
      <c r="J1009" s="6" t="str">
        <f>IFERROR(Info_Camas[[#This Row],[Lineas]]/Info_Camas[[#This Row],[Cortinas]],"Pendiente")</f>
        <v>Pendiente</v>
      </c>
    </row>
    <row r="1010" spans="1:10" hidden="1" x14ac:dyDescent="0.25">
      <c r="A1010" t="str">
        <f>+_xlfn.CONCAT(Info_Camas[[#This Row],[Bloque]],Info_Camas[[#This Row],[Lado]],Info_Camas[[#This Row],[Cama]])</f>
        <v>06A025</v>
      </c>
      <c r="B1010" t="s">
        <v>739</v>
      </c>
      <c r="C1010" t="s">
        <v>39</v>
      </c>
      <c r="D1010" t="s">
        <v>15</v>
      </c>
      <c r="E1010" t="s">
        <v>42</v>
      </c>
      <c r="F1010" t="s">
        <v>103</v>
      </c>
      <c r="G1010">
        <v>51.573</v>
      </c>
      <c r="J1010" s="6" t="str">
        <f>IFERROR(Info_Camas[[#This Row],[Lineas]]/Info_Camas[[#This Row],[Cortinas]],"Pendiente")</f>
        <v>Pendiente</v>
      </c>
    </row>
    <row r="1011" spans="1:10" hidden="1" x14ac:dyDescent="0.25">
      <c r="A1011" t="str">
        <f>+_xlfn.CONCAT(Info_Camas[[#This Row],[Bloque]],Info_Camas[[#This Row],[Lado]],Info_Camas[[#This Row],[Cama]])</f>
        <v>06B025</v>
      </c>
      <c r="B1011" t="s">
        <v>739</v>
      </c>
      <c r="C1011" t="s">
        <v>39</v>
      </c>
      <c r="D1011" t="s">
        <v>21</v>
      </c>
      <c r="E1011" t="s">
        <v>42</v>
      </c>
      <c r="F1011" t="s">
        <v>103</v>
      </c>
      <c r="G1011">
        <v>51.573</v>
      </c>
      <c r="J1011" s="6" t="str">
        <f>IFERROR(Info_Camas[[#This Row],[Lineas]]/Info_Camas[[#This Row],[Cortinas]],"Pendiente")</f>
        <v>Pendiente</v>
      </c>
    </row>
    <row r="1012" spans="1:10" hidden="1" x14ac:dyDescent="0.25">
      <c r="A1012" t="str">
        <f>+_xlfn.CONCAT(Info_Camas[[#This Row],[Bloque]],Info_Camas[[#This Row],[Lado]],Info_Camas[[#This Row],[Cama]])</f>
        <v>06A026</v>
      </c>
      <c r="B1012" t="s">
        <v>739</v>
      </c>
      <c r="C1012" t="s">
        <v>39</v>
      </c>
      <c r="D1012" t="s">
        <v>15</v>
      </c>
      <c r="E1012" t="s">
        <v>42</v>
      </c>
      <c r="F1012" t="s">
        <v>106</v>
      </c>
      <c r="G1012">
        <v>51.573</v>
      </c>
      <c r="J1012" s="6" t="str">
        <f>IFERROR(Info_Camas[[#This Row],[Lineas]]/Info_Camas[[#This Row],[Cortinas]],"Pendiente")</f>
        <v>Pendiente</v>
      </c>
    </row>
    <row r="1013" spans="1:10" hidden="1" x14ac:dyDescent="0.25">
      <c r="A1013" t="str">
        <f>+_xlfn.CONCAT(Info_Camas[[#This Row],[Bloque]],Info_Camas[[#This Row],[Lado]],Info_Camas[[#This Row],[Cama]])</f>
        <v>06B026</v>
      </c>
      <c r="B1013" t="s">
        <v>739</v>
      </c>
      <c r="C1013" t="s">
        <v>39</v>
      </c>
      <c r="D1013" t="s">
        <v>21</v>
      </c>
      <c r="E1013" t="s">
        <v>42</v>
      </c>
      <c r="F1013" t="s">
        <v>106</v>
      </c>
      <c r="G1013">
        <v>51.573</v>
      </c>
      <c r="J1013" s="6" t="str">
        <f>IFERROR(Info_Camas[[#This Row],[Lineas]]/Info_Camas[[#This Row],[Cortinas]],"Pendiente")</f>
        <v>Pendiente</v>
      </c>
    </row>
    <row r="1014" spans="1:10" hidden="1" x14ac:dyDescent="0.25">
      <c r="A1014" t="str">
        <f>+_xlfn.CONCAT(Info_Camas[[#This Row],[Bloque]],Info_Camas[[#This Row],[Lado]],Info_Camas[[#This Row],[Cama]])</f>
        <v>06A027</v>
      </c>
      <c r="B1014" t="s">
        <v>739</v>
      </c>
      <c r="C1014" t="s">
        <v>39</v>
      </c>
      <c r="D1014" t="s">
        <v>15</v>
      </c>
      <c r="E1014" t="s">
        <v>42</v>
      </c>
      <c r="F1014" t="s">
        <v>109</v>
      </c>
      <c r="G1014">
        <v>51.573</v>
      </c>
      <c r="J1014" s="6" t="str">
        <f>IFERROR(Info_Camas[[#This Row],[Lineas]]/Info_Camas[[#This Row],[Cortinas]],"Pendiente")</f>
        <v>Pendiente</v>
      </c>
    </row>
    <row r="1015" spans="1:10" hidden="1" x14ac:dyDescent="0.25">
      <c r="A1015" t="str">
        <f>+_xlfn.CONCAT(Info_Camas[[#This Row],[Bloque]],Info_Camas[[#This Row],[Lado]],Info_Camas[[#This Row],[Cama]])</f>
        <v>06B027</v>
      </c>
      <c r="B1015" t="s">
        <v>739</v>
      </c>
      <c r="C1015" t="s">
        <v>39</v>
      </c>
      <c r="D1015" t="s">
        <v>21</v>
      </c>
      <c r="E1015" t="s">
        <v>42</v>
      </c>
      <c r="F1015" t="s">
        <v>109</v>
      </c>
      <c r="G1015">
        <v>51.573</v>
      </c>
      <c r="J1015" s="6" t="str">
        <f>IFERROR(Info_Camas[[#This Row],[Lineas]]/Info_Camas[[#This Row],[Cortinas]],"Pendiente")</f>
        <v>Pendiente</v>
      </c>
    </row>
    <row r="1016" spans="1:10" hidden="1" x14ac:dyDescent="0.25">
      <c r="A1016" t="str">
        <f>+_xlfn.CONCAT(Info_Camas[[#This Row],[Bloque]],Info_Camas[[#This Row],[Lado]],Info_Camas[[#This Row],[Cama]])</f>
        <v>06A028</v>
      </c>
      <c r="B1016" t="s">
        <v>739</v>
      </c>
      <c r="C1016" t="s">
        <v>39</v>
      </c>
      <c r="D1016" t="s">
        <v>15</v>
      </c>
      <c r="E1016" t="s">
        <v>42</v>
      </c>
      <c r="F1016" t="s">
        <v>112</v>
      </c>
      <c r="G1016">
        <v>51.573</v>
      </c>
      <c r="J1016" s="6" t="str">
        <f>IFERROR(Info_Camas[[#This Row],[Lineas]]/Info_Camas[[#This Row],[Cortinas]],"Pendiente")</f>
        <v>Pendiente</v>
      </c>
    </row>
    <row r="1017" spans="1:10" hidden="1" x14ac:dyDescent="0.25">
      <c r="A1017" t="str">
        <f>+_xlfn.CONCAT(Info_Camas[[#This Row],[Bloque]],Info_Camas[[#This Row],[Lado]],Info_Camas[[#This Row],[Cama]])</f>
        <v>06B028</v>
      </c>
      <c r="B1017" t="s">
        <v>739</v>
      </c>
      <c r="C1017" t="s">
        <v>39</v>
      </c>
      <c r="D1017" t="s">
        <v>21</v>
      </c>
      <c r="E1017" t="s">
        <v>42</v>
      </c>
      <c r="F1017" t="s">
        <v>112</v>
      </c>
      <c r="G1017">
        <v>51.573</v>
      </c>
      <c r="J1017" s="6" t="str">
        <f>IFERROR(Info_Camas[[#This Row],[Lineas]]/Info_Camas[[#This Row],[Cortinas]],"Pendiente")</f>
        <v>Pendiente</v>
      </c>
    </row>
    <row r="1018" spans="1:10" hidden="1" x14ac:dyDescent="0.25">
      <c r="A1018" t="str">
        <f>+_xlfn.CONCAT(Info_Camas[[#This Row],[Bloque]],Info_Camas[[#This Row],[Lado]],Info_Camas[[#This Row],[Cama]])</f>
        <v>06A029</v>
      </c>
      <c r="B1018" t="s">
        <v>739</v>
      </c>
      <c r="C1018" t="s">
        <v>39</v>
      </c>
      <c r="D1018" t="s">
        <v>15</v>
      </c>
      <c r="E1018" t="s">
        <v>46</v>
      </c>
      <c r="F1018" t="s">
        <v>115</v>
      </c>
      <c r="G1018">
        <v>51.573</v>
      </c>
      <c r="J1018" s="6" t="str">
        <f>IFERROR(Info_Camas[[#This Row],[Lineas]]/Info_Camas[[#This Row],[Cortinas]],"Pendiente")</f>
        <v>Pendiente</v>
      </c>
    </row>
    <row r="1019" spans="1:10" hidden="1" x14ac:dyDescent="0.25">
      <c r="A1019" t="str">
        <f>+_xlfn.CONCAT(Info_Camas[[#This Row],[Bloque]],Info_Camas[[#This Row],[Lado]],Info_Camas[[#This Row],[Cama]])</f>
        <v>06B029</v>
      </c>
      <c r="B1019" t="s">
        <v>739</v>
      </c>
      <c r="C1019" t="s">
        <v>39</v>
      </c>
      <c r="D1019" t="s">
        <v>21</v>
      </c>
      <c r="E1019" t="s">
        <v>46</v>
      </c>
      <c r="F1019" t="s">
        <v>115</v>
      </c>
      <c r="G1019">
        <v>51.573</v>
      </c>
      <c r="J1019" s="6" t="str">
        <f>IFERROR(Info_Camas[[#This Row],[Lineas]]/Info_Camas[[#This Row],[Cortinas]],"Pendiente")</f>
        <v>Pendiente</v>
      </c>
    </row>
    <row r="1020" spans="1:10" hidden="1" x14ac:dyDescent="0.25">
      <c r="A1020" t="str">
        <f>+_xlfn.CONCAT(Info_Camas[[#This Row],[Bloque]],Info_Camas[[#This Row],[Lado]],Info_Camas[[#This Row],[Cama]])</f>
        <v>06A030</v>
      </c>
      <c r="B1020" t="s">
        <v>739</v>
      </c>
      <c r="C1020" t="s">
        <v>39</v>
      </c>
      <c r="D1020" t="s">
        <v>15</v>
      </c>
      <c r="E1020" t="s">
        <v>46</v>
      </c>
      <c r="F1020" t="s">
        <v>118</v>
      </c>
      <c r="G1020">
        <v>51.573</v>
      </c>
      <c r="J1020" s="6" t="str">
        <f>IFERROR(Info_Camas[[#This Row],[Lineas]]/Info_Camas[[#This Row],[Cortinas]],"Pendiente")</f>
        <v>Pendiente</v>
      </c>
    </row>
    <row r="1021" spans="1:10" hidden="1" x14ac:dyDescent="0.25">
      <c r="A1021" t="str">
        <f>+_xlfn.CONCAT(Info_Camas[[#This Row],[Bloque]],Info_Camas[[#This Row],[Lado]],Info_Camas[[#This Row],[Cama]])</f>
        <v>06B030</v>
      </c>
      <c r="B1021" t="s">
        <v>739</v>
      </c>
      <c r="C1021" t="s">
        <v>39</v>
      </c>
      <c r="D1021" t="s">
        <v>21</v>
      </c>
      <c r="E1021" t="s">
        <v>46</v>
      </c>
      <c r="F1021" t="s">
        <v>118</v>
      </c>
      <c r="G1021">
        <v>51.573</v>
      </c>
      <c r="J1021" s="6" t="str">
        <f>IFERROR(Info_Camas[[#This Row],[Lineas]]/Info_Camas[[#This Row],[Cortinas]],"Pendiente")</f>
        <v>Pendiente</v>
      </c>
    </row>
    <row r="1022" spans="1:10" hidden="1" x14ac:dyDescent="0.25">
      <c r="A1022" t="str">
        <f>+_xlfn.CONCAT(Info_Camas[[#This Row],[Bloque]],Info_Camas[[#This Row],[Lado]],Info_Camas[[#This Row],[Cama]])</f>
        <v>06A031</v>
      </c>
      <c r="B1022" t="s">
        <v>739</v>
      </c>
      <c r="C1022" t="s">
        <v>39</v>
      </c>
      <c r="D1022" t="s">
        <v>15</v>
      </c>
      <c r="E1022" t="s">
        <v>46</v>
      </c>
      <c r="F1022" t="s">
        <v>121</v>
      </c>
      <c r="G1022">
        <v>51.573</v>
      </c>
      <c r="J1022" s="6" t="str">
        <f>IFERROR(Info_Camas[[#This Row],[Lineas]]/Info_Camas[[#This Row],[Cortinas]],"Pendiente")</f>
        <v>Pendiente</v>
      </c>
    </row>
    <row r="1023" spans="1:10" hidden="1" x14ac:dyDescent="0.25">
      <c r="A1023" t="str">
        <f>+_xlfn.CONCAT(Info_Camas[[#This Row],[Bloque]],Info_Camas[[#This Row],[Lado]],Info_Camas[[#This Row],[Cama]])</f>
        <v>06B031</v>
      </c>
      <c r="B1023" t="s">
        <v>739</v>
      </c>
      <c r="C1023" t="s">
        <v>39</v>
      </c>
      <c r="D1023" t="s">
        <v>21</v>
      </c>
      <c r="E1023" t="s">
        <v>46</v>
      </c>
      <c r="F1023" t="s">
        <v>121</v>
      </c>
      <c r="G1023">
        <v>51.573</v>
      </c>
      <c r="J1023" s="6" t="str">
        <f>IFERROR(Info_Camas[[#This Row],[Lineas]]/Info_Camas[[#This Row],[Cortinas]],"Pendiente")</f>
        <v>Pendiente</v>
      </c>
    </row>
    <row r="1024" spans="1:10" hidden="1" x14ac:dyDescent="0.25">
      <c r="A1024" t="str">
        <f>+_xlfn.CONCAT(Info_Camas[[#This Row],[Bloque]],Info_Camas[[#This Row],[Lado]],Info_Camas[[#This Row],[Cama]])</f>
        <v>06A032</v>
      </c>
      <c r="B1024" t="s">
        <v>739</v>
      </c>
      <c r="C1024" t="s">
        <v>39</v>
      </c>
      <c r="D1024" t="s">
        <v>15</v>
      </c>
      <c r="E1024" t="s">
        <v>46</v>
      </c>
      <c r="F1024" t="s">
        <v>124</v>
      </c>
      <c r="G1024">
        <v>42.977499999999999</v>
      </c>
      <c r="J1024" s="6" t="str">
        <f>IFERROR(Info_Camas[[#This Row],[Lineas]]/Info_Camas[[#This Row],[Cortinas]],"Pendiente")</f>
        <v>Pendiente</v>
      </c>
    </row>
    <row r="1025" spans="1:10" hidden="1" x14ac:dyDescent="0.25">
      <c r="A1025" t="str">
        <f>+_xlfn.CONCAT(Info_Camas[[#This Row],[Bloque]],Info_Camas[[#This Row],[Lado]],Info_Camas[[#This Row],[Cama]])</f>
        <v>06B032</v>
      </c>
      <c r="B1025" t="s">
        <v>739</v>
      </c>
      <c r="C1025" t="s">
        <v>39</v>
      </c>
      <c r="D1025" t="s">
        <v>21</v>
      </c>
      <c r="E1025" t="s">
        <v>46</v>
      </c>
      <c r="F1025" t="s">
        <v>124</v>
      </c>
      <c r="G1025">
        <v>20.055</v>
      </c>
      <c r="J1025" s="6" t="str">
        <f>IFERROR(Info_Camas[[#This Row],[Lineas]]/Info_Camas[[#This Row],[Cortinas]],"Pendiente")</f>
        <v>Pendiente</v>
      </c>
    </row>
    <row r="1026" spans="1:10" hidden="1" x14ac:dyDescent="0.25">
      <c r="A1026" t="str">
        <f>+_xlfn.CONCAT(Info_Camas[[#This Row],[Bloque]],Info_Camas[[#This Row],[Lado]],Info_Camas[[#This Row],[Cama]])</f>
        <v>06A033</v>
      </c>
      <c r="B1026" t="s">
        <v>739</v>
      </c>
      <c r="C1026" t="s">
        <v>39</v>
      </c>
      <c r="D1026" t="s">
        <v>15</v>
      </c>
      <c r="E1026" t="s">
        <v>51</v>
      </c>
      <c r="F1026" t="s">
        <v>126</v>
      </c>
      <c r="G1026">
        <v>34.027700000000003</v>
      </c>
      <c r="J1026" s="6" t="str">
        <f>IFERROR(Info_Camas[[#This Row],[Lineas]]/Info_Camas[[#This Row],[Cortinas]],"Pendiente")</f>
        <v>Pendiente</v>
      </c>
    </row>
    <row r="1027" spans="1:10" hidden="1" x14ac:dyDescent="0.25">
      <c r="A1027" t="str">
        <f>+_xlfn.CONCAT(Info_Camas[[#This Row],[Bloque]],Info_Camas[[#This Row],[Lado]],Info_Camas[[#This Row],[Cama]])</f>
        <v>06B033</v>
      </c>
      <c r="B1027" t="s">
        <v>739</v>
      </c>
      <c r="C1027" t="s">
        <v>39</v>
      </c>
      <c r="D1027" t="s">
        <v>21</v>
      </c>
      <c r="E1027" t="s">
        <v>51</v>
      </c>
      <c r="F1027" t="s">
        <v>126</v>
      </c>
      <c r="G1027">
        <v>51.573</v>
      </c>
      <c r="J1027" s="6" t="str">
        <f>IFERROR(Info_Camas[[#This Row],[Lineas]]/Info_Camas[[#This Row],[Cortinas]],"Pendiente")</f>
        <v>Pendiente</v>
      </c>
    </row>
    <row r="1028" spans="1:10" hidden="1" x14ac:dyDescent="0.25">
      <c r="A1028" t="str">
        <f>+_xlfn.CONCAT(Info_Camas[[#This Row],[Bloque]],Info_Camas[[#This Row],[Lado]],Info_Camas[[#This Row],[Cama]])</f>
        <v>06A034</v>
      </c>
      <c r="B1028" t="s">
        <v>739</v>
      </c>
      <c r="C1028" t="s">
        <v>39</v>
      </c>
      <c r="D1028" t="s">
        <v>15</v>
      </c>
      <c r="E1028" t="s">
        <v>51</v>
      </c>
      <c r="F1028" t="s">
        <v>128</v>
      </c>
      <c r="G1028">
        <v>51.573</v>
      </c>
      <c r="J1028" s="6" t="str">
        <f>IFERROR(Info_Camas[[#This Row],[Lineas]]/Info_Camas[[#This Row],[Cortinas]],"Pendiente")</f>
        <v>Pendiente</v>
      </c>
    </row>
    <row r="1029" spans="1:10" hidden="1" x14ac:dyDescent="0.25">
      <c r="A1029" t="str">
        <f>+_xlfn.CONCAT(Info_Camas[[#This Row],[Bloque]],Info_Camas[[#This Row],[Lado]],Info_Camas[[#This Row],[Cama]])</f>
        <v>06B034</v>
      </c>
      <c r="B1029" t="s">
        <v>739</v>
      </c>
      <c r="C1029" t="s">
        <v>39</v>
      </c>
      <c r="D1029" t="s">
        <v>21</v>
      </c>
      <c r="E1029" t="s">
        <v>51</v>
      </c>
      <c r="F1029" t="s">
        <v>128</v>
      </c>
      <c r="G1029">
        <v>51.573</v>
      </c>
      <c r="J1029" s="6" t="str">
        <f>IFERROR(Info_Camas[[#This Row],[Lineas]]/Info_Camas[[#This Row],[Cortinas]],"Pendiente")</f>
        <v>Pendiente</v>
      </c>
    </row>
    <row r="1030" spans="1:10" hidden="1" x14ac:dyDescent="0.25">
      <c r="A1030" t="str">
        <f>+_xlfn.CONCAT(Info_Camas[[#This Row],[Bloque]],Info_Camas[[#This Row],[Lado]],Info_Camas[[#This Row],[Cama]])</f>
        <v>06A035</v>
      </c>
      <c r="B1030" t="s">
        <v>739</v>
      </c>
      <c r="C1030" t="s">
        <v>39</v>
      </c>
      <c r="D1030" t="s">
        <v>15</v>
      </c>
      <c r="E1030" t="s">
        <v>51</v>
      </c>
      <c r="F1030" t="s">
        <v>130</v>
      </c>
      <c r="G1030">
        <v>51.573</v>
      </c>
      <c r="J1030" s="6" t="str">
        <f>IFERROR(Info_Camas[[#This Row],[Lineas]]/Info_Camas[[#This Row],[Cortinas]],"Pendiente")</f>
        <v>Pendiente</v>
      </c>
    </row>
    <row r="1031" spans="1:10" hidden="1" x14ac:dyDescent="0.25">
      <c r="A1031" t="str">
        <f>+_xlfn.CONCAT(Info_Camas[[#This Row],[Bloque]],Info_Camas[[#This Row],[Lado]],Info_Camas[[#This Row],[Cama]])</f>
        <v>06B035</v>
      </c>
      <c r="B1031" t="s">
        <v>739</v>
      </c>
      <c r="C1031" t="s">
        <v>39</v>
      </c>
      <c r="D1031" t="s">
        <v>21</v>
      </c>
      <c r="E1031" t="s">
        <v>51</v>
      </c>
      <c r="F1031" t="s">
        <v>130</v>
      </c>
      <c r="G1031">
        <v>51.573</v>
      </c>
      <c r="J1031" s="6" t="str">
        <f>IFERROR(Info_Camas[[#This Row],[Lineas]]/Info_Camas[[#This Row],[Cortinas]],"Pendiente")</f>
        <v>Pendiente</v>
      </c>
    </row>
    <row r="1032" spans="1:10" hidden="1" x14ac:dyDescent="0.25">
      <c r="A1032" t="str">
        <f>+_xlfn.CONCAT(Info_Camas[[#This Row],[Bloque]],Info_Camas[[#This Row],[Lado]],Info_Camas[[#This Row],[Cama]])</f>
        <v>06A036</v>
      </c>
      <c r="B1032" t="s">
        <v>739</v>
      </c>
      <c r="C1032" t="s">
        <v>39</v>
      </c>
      <c r="D1032" t="s">
        <v>15</v>
      </c>
      <c r="E1032" t="s">
        <v>51</v>
      </c>
      <c r="F1032" t="s">
        <v>132</v>
      </c>
      <c r="G1032">
        <v>51.573</v>
      </c>
      <c r="J1032" s="6" t="str">
        <f>IFERROR(Info_Camas[[#This Row],[Lineas]]/Info_Camas[[#This Row],[Cortinas]],"Pendiente")</f>
        <v>Pendiente</v>
      </c>
    </row>
    <row r="1033" spans="1:10" hidden="1" x14ac:dyDescent="0.25">
      <c r="A1033" t="str">
        <f>+_xlfn.CONCAT(Info_Camas[[#This Row],[Bloque]],Info_Camas[[#This Row],[Lado]],Info_Camas[[#This Row],[Cama]])</f>
        <v>06B036</v>
      </c>
      <c r="B1033" t="s">
        <v>739</v>
      </c>
      <c r="C1033" t="s">
        <v>39</v>
      </c>
      <c r="D1033" t="s">
        <v>21</v>
      </c>
      <c r="E1033" t="s">
        <v>51</v>
      </c>
      <c r="F1033" t="s">
        <v>132</v>
      </c>
      <c r="G1033">
        <v>51.573</v>
      </c>
      <c r="J1033" s="6" t="str">
        <f>IFERROR(Info_Camas[[#This Row],[Lineas]]/Info_Camas[[#This Row],[Cortinas]],"Pendiente")</f>
        <v>Pendiente</v>
      </c>
    </row>
    <row r="1034" spans="1:10" hidden="1" x14ac:dyDescent="0.25">
      <c r="A1034" t="str">
        <f>+_xlfn.CONCAT(Info_Camas[[#This Row],[Bloque]],Info_Camas[[#This Row],[Lado]],Info_Camas[[#This Row],[Cama]])</f>
        <v>06A037</v>
      </c>
      <c r="B1034" t="s">
        <v>739</v>
      </c>
      <c r="C1034" t="s">
        <v>39</v>
      </c>
      <c r="D1034" t="s">
        <v>15</v>
      </c>
      <c r="E1034" t="s">
        <v>54</v>
      </c>
      <c r="F1034" t="s">
        <v>134</v>
      </c>
      <c r="G1034">
        <v>51.573</v>
      </c>
      <c r="J1034" s="6" t="str">
        <f>IFERROR(Info_Camas[[#This Row],[Lineas]]/Info_Camas[[#This Row],[Cortinas]],"Pendiente")</f>
        <v>Pendiente</v>
      </c>
    </row>
    <row r="1035" spans="1:10" hidden="1" x14ac:dyDescent="0.25">
      <c r="A1035" t="str">
        <f>+_xlfn.CONCAT(Info_Camas[[#This Row],[Bloque]],Info_Camas[[#This Row],[Lado]],Info_Camas[[#This Row],[Cama]])</f>
        <v>06B037</v>
      </c>
      <c r="B1035" t="s">
        <v>739</v>
      </c>
      <c r="C1035" t="s">
        <v>39</v>
      </c>
      <c r="D1035" t="s">
        <v>21</v>
      </c>
      <c r="E1035" t="s">
        <v>54</v>
      </c>
      <c r="F1035" t="s">
        <v>134</v>
      </c>
      <c r="G1035">
        <v>51.573</v>
      </c>
      <c r="J1035" s="6" t="str">
        <f>IFERROR(Info_Camas[[#This Row],[Lineas]]/Info_Camas[[#This Row],[Cortinas]],"Pendiente")</f>
        <v>Pendiente</v>
      </c>
    </row>
    <row r="1036" spans="1:10" hidden="1" x14ac:dyDescent="0.25">
      <c r="A1036" t="str">
        <f>+_xlfn.CONCAT(Info_Camas[[#This Row],[Bloque]],Info_Camas[[#This Row],[Lado]],Info_Camas[[#This Row],[Cama]])</f>
        <v>06A038</v>
      </c>
      <c r="B1036" t="s">
        <v>739</v>
      </c>
      <c r="C1036" t="s">
        <v>39</v>
      </c>
      <c r="D1036" t="s">
        <v>15</v>
      </c>
      <c r="E1036" t="s">
        <v>54</v>
      </c>
      <c r="F1036" t="s">
        <v>137</v>
      </c>
      <c r="G1036">
        <v>51.573</v>
      </c>
      <c r="J1036" s="6" t="str">
        <f>IFERROR(Info_Camas[[#This Row],[Lineas]]/Info_Camas[[#This Row],[Cortinas]],"Pendiente")</f>
        <v>Pendiente</v>
      </c>
    </row>
    <row r="1037" spans="1:10" hidden="1" x14ac:dyDescent="0.25">
      <c r="A1037" t="str">
        <f>+_xlfn.CONCAT(Info_Camas[[#This Row],[Bloque]],Info_Camas[[#This Row],[Lado]],Info_Camas[[#This Row],[Cama]])</f>
        <v>06B038</v>
      </c>
      <c r="B1037" t="s">
        <v>739</v>
      </c>
      <c r="C1037" t="s">
        <v>39</v>
      </c>
      <c r="D1037" t="s">
        <v>21</v>
      </c>
      <c r="E1037" t="s">
        <v>54</v>
      </c>
      <c r="F1037" t="s">
        <v>137</v>
      </c>
      <c r="G1037">
        <v>51.573</v>
      </c>
      <c r="J1037" s="6" t="str">
        <f>IFERROR(Info_Camas[[#This Row],[Lineas]]/Info_Camas[[#This Row],[Cortinas]],"Pendiente")</f>
        <v>Pendiente</v>
      </c>
    </row>
    <row r="1038" spans="1:10" hidden="1" x14ac:dyDescent="0.25">
      <c r="A1038" t="str">
        <f>+_xlfn.CONCAT(Info_Camas[[#This Row],[Bloque]],Info_Camas[[#This Row],[Lado]],Info_Camas[[#This Row],[Cama]])</f>
        <v>06A039</v>
      </c>
      <c r="B1038" t="s">
        <v>739</v>
      </c>
      <c r="C1038" t="s">
        <v>39</v>
      </c>
      <c r="D1038" t="s">
        <v>15</v>
      </c>
      <c r="E1038" t="s">
        <v>54</v>
      </c>
      <c r="F1038" t="s">
        <v>139</v>
      </c>
      <c r="G1038">
        <v>51.573</v>
      </c>
      <c r="J1038" s="6" t="str">
        <f>IFERROR(Info_Camas[[#This Row],[Lineas]]/Info_Camas[[#This Row],[Cortinas]],"Pendiente")</f>
        <v>Pendiente</v>
      </c>
    </row>
    <row r="1039" spans="1:10" hidden="1" x14ac:dyDescent="0.25">
      <c r="A1039" t="str">
        <f>+_xlfn.CONCAT(Info_Camas[[#This Row],[Bloque]],Info_Camas[[#This Row],[Lado]],Info_Camas[[#This Row],[Cama]])</f>
        <v>06B039</v>
      </c>
      <c r="B1039" t="s">
        <v>739</v>
      </c>
      <c r="C1039" t="s">
        <v>39</v>
      </c>
      <c r="D1039" t="s">
        <v>21</v>
      </c>
      <c r="E1039" t="s">
        <v>54</v>
      </c>
      <c r="F1039" t="s">
        <v>139</v>
      </c>
      <c r="G1039">
        <v>51.573</v>
      </c>
      <c r="J1039" s="6" t="str">
        <f>IFERROR(Info_Camas[[#This Row],[Lineas]]/Info_Camas[[#This Row],[Cortinas]],"Pendiente")</f>
        <v>Pendiente</v>
      </c>
    </row>
    <row r="1040" spans="1:10" hidden="1" x14ac:dyDescent="0.25">
      <c r="A1040" t="str">
        <f>+_xlfn.CONCAT(Info_Camas[[#This Row],[Bloque]],Info_Camas[[#This Row],[Lado]],Info_Camas[[#This Row],[Cama]])</f>
        <v>06A040</v>
      </c>
      <c r="B1040" t="s">
        <v>739</v>
      </c>
      <c r="C1040" t="s">
        <v>39</v>
      </c>
      <c r="D1040" t="s">
        <v>15</v>
      </c>
      <c r="E1040" t="s">
        <v>54</v>
      </c>
      <c r="F1040" t="s">
        <v>141</v>
      </c>
      <c r="G1040">
        <v>51.573</v>
      </c>
      <c r="J1040" s="6" t="str">
        <f>IFERROR(Info_Camas[[#This Row],[Lineas]]/Info_Camas[[#This Row],[Cortinas]],"Pendiente")</f>
        <v>Pendiente</v>
      </c>
    </row>
    <row r="1041" spans="1:10" hidden="1" x14ac:dyDescent="0.25">
      <c r="A1041" t="str">
        <f>+_xlfn.CONCAT(Info_Camas[[#This Row],[Bloque]],Info_Camas[[#This Row],[Lado]],Info_Camas[[#This Row],[Cama]])</f>
        <v>06B040</v>
      </c>
      <c r="B1041" t="s">
        <v>739</v>
      </c>
      <c r="C1041" t="s">
        <v>39</v>
      </c>
      <c r="D1041" t="s">
        <v>21</v>
      </c>
      <c r="E1041" t="s">
        <v>54</v>
      </c>
      <c r="F1041" t="s">
        <v>141</v>
      </c>
      <c r="G1041">
        <v>51.573</v>
      </c>
      <c r="J1041" s="6" t="str">
        <f>IFERROR(Info_Camas[[#This Row],[Lineas]]/Info_Camas[[#This Row],[Cortinas]],"Pendiente")</f>
        <v>Pendiente</v>
      </c>
    </row>
    <row r="1042" spans="1:10" hidden="1" x14ac:dyDescent="0.25">
      <c r="A1042" t="str">
        <f>+_xlfn.CONCAT(Info_Camas[[#This Row],[Bloque]],Info_Camas[[#This Row],[Lado]],Info_Camas[[#This Row],[Cama]])</f>
        <v>06A041</v>
      </c>
      <c r="B1042" t="s">
        <v>739</v>
      </c>
      <c r="C1042" t="s">
        <v>39</v>
      </c>
      <c r="D1042" t="s">
        <v>15</v>
      </c>
      <c r="E1042" t="s">
        <v>57</v>
      </c>
      <c r="F1042" t="s">
        <v>143</v>
      </c>
      <c r="G1042">
        <v>51.573</v>
      </c>
      <c r="J1042" s="6" t="str">
        <f>IFERROR(Info_Camas[[#This Row],[Lineas]]/Info_Camas[[#This Row],[Cortinas]],"Pendiente")</f>
        <v>Pendiente</v>
      </c>
    </row>
    <row r="1043" spans="1:10" hidden="1" x14ac:dyDescent="0.25">
      <c r="A1043" t="str">
        <f>+_xlfn.CONCAT(Info_Camas[[#This Row],[Bloque]],Info_Camas[[#This Row],[Lado]],Info_Camas[[#This Row],[Cama]])</f>
        <v>06B041</v>
      </c>
      <c r="B1043" t="s">
        <v>739</v>
      </c>
      <c r="C1043" t="s">
        <v>39</v>
      </c>
      <c r="D1043" t="s">
        <v>21</v>
      </c>
      <c r="E1043" t="s">
        <v>57</v>
      </c>
      <c r="F1043" t="s">
        <v>143</v>
      </c>
      <c r="G1043">
        <v>51.573</v>
      </c>
      <c r="J1043" s="6" t="str">
        <f>IFERROR(Info_Camas[[#This Row],[Lineas]]/Info_Camas[[#This Row],[Cortinas]],"Pendiente")</f>
        <v>Pendiente</v>
      </c>
    </row>
    <row r="1044" spans="1:10" hidden="1" x14ac:dyDescent="0.25">
      <c r="A1044" t="str">
        <f>+_xlfn.CONCAT(Info_Camas[[#This Row],[Bloque]],Info_Camas[[#This Row],[Lado]],Info_Camas[[#This Row],[Cama]])</f>
        <v>06A042</v>
      </c>
      <c r="B1044" t="s">
        <v>739</v>
      </c>
      <c r="C1044" t="s">
        <v>39</v>
      </c>
      <c r="D1044" t="s">
        <v>15</v>
      </c>
      <c r="E1044" t="s">
        <v>57</v>
      </c>
      <c r="F1044" t="s">
        <v>145</v>
      </c>
      <c r="G1044">
        <v>51.573</v>
      </c>
      <c r="J1044" s="6" t="str">
        <f>IFERROR(Info_Camas[[#This Row],[Lineas]]/Info_Camas[[#This Row],[Cortinas]],"Pendiente")</f>
        <v>Pendiente</v>
      </c>
    </row>
    <row r="1045" spans="1:10" hidden="1" x14ac:dyDescent="0.25">
      <c r="A1045" t="str">
        <f>+_xlfn.CONCAT(Info_Camas[[#This Row],[Bloque]],Info_Camas[[#This Row],[Lado]],Info_Camas[[#This Row],[Cama]])</f>
        <v>06B042</v>
      </c>
      <c r="B1045" t="s">
        <v>739</v>
      </c>
      <c r="C1045" t="s">
        <v>39</v>
      </c>
      <c r="D1045" t="s">
        <v>21</v>
      </c>
      <c r="E1045" t="s">
        <v>57</v>
      </c>
      <c r="F1045" t="s">
        <v>145</v>
      </c>
      <c r="G1045">
        <v>51.573</v>
      </c>
      <c r="J1045" s="6" t="str">
        <f>IFERROR(Info_Camas[[#This Row],[Lineas]]/Info_Camas[[#This Row],[Cortinas]],"Pendiente")</f>
        <v>Pendiente</v>
      </c>
    </row>
    <row r="1046" spans="1:10" hidden="1" x14ac:dyDescent="0.25">
      <c r="A1046" t="str">
        <f>+_xlfn.CONCAT(Info_Camas[[#This Row],[Bloque]],Info_Camas[[#This Row],[Lado]],Info_Camas[[#This Row],[Cama]])</f>
        <v>06A043</v>
      </c>
      <c r="B1046" t="s">
        <v>739</v>
      </c>
      <c r="C1046" t="s">
        <v>39</v>
      </c>
      <c r="D1046" t="s">
        <v>15</v>
      </c>
      <c r="E1046" t="s">
        <v>57</v>
      </c>
      <c r="F1046" t="s">
        <v>147</v>
      </c>
      <c r="G1046">
        <v>51.573</v>
      </c>
      <c r="J1046" s="6" t="str">
        <f>IFERROR(Info_Camas[[#This Row],[Lineas]]/Info_Camas[[#This Row],[Cortinas]],"Pendiente")</f>
        <v>Pendiente</v>
      </c>
    </row>
    <row r="1047" spans="1:10" hidden="1" x14ac:dyDescent="0.25">
      <c r="A1047" t="str">
        <f>+_xlfn.CONCAT(Info_Camas[[#This Row],[Bloque]],Info_Camas[[#This Row],[Lado]],Info_Camas[[#This Row],[Cama]])</f>
        <v>06B043</v>
      </c>
      <c r="B1047" t="s">
        <v>739</v>
      </c>
      <c r="C1047" t="s">
        <v>39</v>
      </c>
      <c r="D1047" t="s">
        <v>21</v>
      </c>
      <c r="E1047" t="s">
        <v>57</v>
      </c>
      <c r="F1047" t="s">
        <v>147</v>
      </c>
      <c r="G1047">
        <v>51.573</v>
      </c>
      <c r="J1047" s="6" t="str">
        <f>IFERROR(Info_Camas[[#This Row],[Lineas]]/Info_Camas[[#This Row],[Cortinas]],"Pendiente")</f>
        <v>Pendiente</v>
      </c>
    </row>
    <row r="1048" spans="1:10" hidden="1" x14ac:dyDescent="0.25">
      <c r="A1048" t="str">
        <f>+_xlfn.CONCAT(Info_Camas[[#This Row],[Bloque]],Info_Camas[[#This Row],[Lado]],Info_Camas[[#This Row],[Cama]])</f>
        <v>06A044</v>
      </c>
      <c r="B1048" t="s">
        <v>739</v>
      </c>
      <c r="C1048" t="s">
        <v>39</v>
      </c>
      <c r="D1048" t="s">
        <v>15</v>
      </c>
      <c r="E1048" t="s">
        <v>57</v>
      </c>
      <c r="F1048" t="s">
        <v>149</v>
      </c>
      <c r="G1048">
        <v>40.108499999999999</v>
      </c>
      <c r="J1048" s="6" t="str">
        <f>IFERROR(Info_Camas[[#This Row],[Lineas]]/Info_Camas[[#This Row],[Cortinas]],"Pendiente")</f>
        <v>Pendiente</v>
      </c>
    </row>
    <row r="1049" spans="1:10" hidden="1" x14ac:dyDescent="0.25">
      <c r="A1049" t="str">
        <f>+_xlfn.CONCAT(Info_Camas[[#This Row],[Bloque]],Info_Camas[[#This Row],[Lado]],Info_Camas[[#This Row],[Cama]])</f>
        <v>06B044</v>
      </c>
      <c r="B1049" t="s">
        <v>739</v>
      </c>
      <c r="C1049" t="s">
        <v>39</v>
      </c>
      <c r="D1049" t="s">
        <v>21</v>
      </c>
      <c r="E1049" t="s">
        <v>57</v>
      </c>
      <c r="F1049" t="s">
        <v>149</v>
      </c>
      <c r="G1049">
        <v>34.381999999999998</v>
      </c>
      <c r="J1049" s="6" t="str">
        <f>IFERROR(Info_Camas[[#This Row],[Lineas]]/Info_Camas[[#This Row],[Cortinas]],"Pendiente")</f>
        <v>Pendiente</v>
      </c>
    </row>
    <row r="1050" spans="1:10" hidden="1" x14ac:dyDescent="0.25">
      <c r="A1050" t="str">
        <f>+_xlfn.CONCAT(Info_Camas[[#This Row],[Bloque]],Info_Camas[[#This Row],[Lado]],Info_Camas[[#This Row],[Cama]])</f>
        <v>06A045</v>
      </c>
      <c r="B1050" t="s">
        <v>739</v>
      </c>
      <c r="C1050" t="s">
        <v>39</v>
      </c>
      <c r="D1050" t="s">
        <v>15</v>
      </c>
      <c r="E1050" t="s">
        <v>61</v>
      </c>
      <c r="F1050" t="s">
        <v>151</v>
      </c>
      <c r="G1050">
        <v>51.573</v>
      </c>
      <c r="J1050" s="6" t="str">
        <f>IFERROR(Info_Camas[[#This Row],[Lineas]]/Info_Camas[[#This Row],[Cortinas]],"Pendiente")</f>
        <v>Pendiente</v>
      </c>
    </row>
    <row r="1051" spans="1:10" hidden="1" x14ac:dyDescent="0.25">
      <c r="A1051" t="str">
        <f>+_xlfn.CONCAT(Info_Camas[[#This Row],[Bloque]],Info_Camas[[#This Row],[Lado]],Info_Camas[[#This Row],[Cama]])</f>
        <v>06B045</v>
      </c>
      <c r="B1051" t="s">
        <v>739</v>
      </c>
      <c r="C1051" t="s">
        <v>39</v>
      </c>
      <c r="D1051" t="s">
        <v>21</v>
      </c>
      <c r="E1051" t="s">
        <v>61</v>
      </c>
      <c r="F1051" t="s">
        <v>151</v>
      </c>
      <c r="G1051">
        <v>51.573</v>
      </c>
      <c r="J1051" s="6" t="str">
        <f>IFERROR(Info_Camas[[#This Row],[Lineas]]/Info_Camas[[#This Row],[Cortinas]],"Pendiente")</f>
        <v>Pendiente</v>
      </c>
    </row>
    <row r="1052" spans="1:10" hidden="1" x14ac:dyDescent="0.25">
      <c r="A1052" t="str">
        <f>+_xlfn.CONCAT(Info_Camas[[#This Row],[Bloque]],Info_Camas[[#This Row],[Lado]],Info_Camas[[#This Row],[Cama]])</f>
        <v>06A046</v>
      </c>
      <c r="B1052" t="s">
        <v>739</v>
      </c>
      <c r="C1052" t="s">
        <v>39</v>
      </c>
      <c r="D1052" t="s">
        <v>15</v>
      </c>
      <c r="E1052" t="s">
        <v>61</v>
      </c>
      <c r="F1052" t="s">
        <v>153</v>
      </c>
      <c r="G1052">
        <v>51.573</v>
      </c>
      <c r="J1052" s="6" t="str">
        <f>IFERROR(Info_Camas[[#This Row],[Lineas]]/Info_Camas[[#This Row],[Cortinas]],"Pendiente")</f>
        <v>Pendiente</v>
      </c>
    </row>
    <row r="1053" spans="1:10" hidden="1" x14ac:dyDescent="0.25">
      <c r="A1053" t="str">
        <f>+_xlfn.CONCAT(Info_Camas[[#This Row],[Bloque]],Info_Camas[[#This Row],[Lado]],Info_Camas[[#This Row],[Cama]])</f>
        <v>06B046</v>
      </c>
      <c r="B1053" t="s">
        <v>739</v>
      </c>
      <c r="C1053" t="s">
        <v>39</v>
      </c>
      <c r="D1053" t="s">
        <v>21</v>
      </c>
      <c r="E1053" t="s">
        <v>61</v>
      </c>
      <c r="F1053" t="s">
        <v>153</v>
      </c>
      <c r="G1053">
        <v>51.573</v>
      </c>
      <c r="J1053" s="6" t="str">
        <f>IFERROR(Info_Camas[[#This Row],[Lineas]]/Info_Camas[[#This Row],[Cortinas]],"Pendiente")</f>
        <v>Pendiente</v>
      </c>
    </row>
    <row r="1054" spans="1:10" hidden="1" x14ac:dyDescent="0.25">
      <c r="A1054" t="str">
        <f>+_xlfn.CONCAT(Info_Camas[[#This Row],[Bloque]],Info_Camas[[#This Row],[Lado]],Info_Camas[[#This Row],[Cama]])</f>
        <v>06A047</v>
      </c>
      <c r="B1054" t="s">
        <v>739</v>
      </c>
      <c r="C1054" t="s">
        <v>39</v>
      </c>
      <c r="D1054" t="s">
        <v>15</v>
      </c>
      <c r="E1054" t="s">
        <v>61</v>
      </c>
      <c r="F1054" t="s">
        <v>155</v>
      </c>
      <c r="G1054">
        <v>20.059999999999999</v>
      </c>
      <c r="J1054" s="6" t="str">
        <f>IFERROR(Info_Camas[[#This Row],[Lineas]]/Info_Camas[[#This Row],[Cortinas]],"Pendiente")</f>
        <v>Pendiente</v>
      </c>
    </row>
    <row r="1055" spans="1:10" hidden="1" x14ac:dyDescent="0.25">
      <c r="A1055" t="str">
        <f>+_xlfn.CONCAT(Info_Camas[[#This Row],[Bloque]],Info_Camas[[#This Row],[Lado]],Info_Camas[[#This Row],[Cama]])</f>
        <v>06B047</v>
      </c>
      <c r="B1055" t="s">
        <v>739</v>
      </c>
      <c r="C1055" t="s">
        <v>39</v>
      </c>
      <c r="D1055" t="s">
        <v>21</v>
      </c>
      <c r="E1055" t="s">
        <v>61</v>
      </c>
      <c r="F1055" t="s">
        <v>155</v>
      </c>
      <c r="G1055">
        <v>51.573</v>
      </c>
      <c r="J1055" s="6" t="str">
        <f>IFERROR(Info_Camas[[#This Row],[Lineas]]/Info_Camas[[#This Row],[Cortinas]],"Pendiente")</f>
        <v>Pendiente</v>
      </c>
    </row>
    <row r="1056" spans="1:10" hidden="1" x14ac:dyDescent="0.25">
      <c r="A1056" t="str">
        <f>+_xlfn.CONCAT(Info_Camas[[#This Row],[Bloque]],Info_Camas[[#This Row],[Lado]],Info_Camas[[#This Row],[Cama]])</f>
        <v>06A048</v>
      </c>
      <c r="B1056" t="s">
        <v>739</v>
      </c>
      <c r="C1056" t="s">
        <v>39</v>
      </c>
      <c r="D1056" t="s">
        <v>15</v>
      </c>
      <c r="E1056" t="s">
        <v>61</v>
      </c>
      <c r="F1056" t="s">
        <v>158</v>
      </c>
      <c r="G1056">
        <v>51.573</v>
      </c>
      <c r="J1056" s="6" t="str">
        <f>IFERROR(Info_Camas[[#This Row],[Lineas]]/Info_Camas[[#This Row],[Cortinas]],"Pendiente")</f>
        <v>Pendiente</v>
      </c>
    </row>
    <row r="1057" spans="1:10" hidden="1" x14ac:dyDescent="0.25">
      <c r="A1057" t="str">
        <f>+_xlfn.CONCAT(Info_Camas[[#This Row],[Bloque]],Info_Camas[[#This Row],[Lado]],Info_Camas[[#This Row],[Cama]])</f>
        <v>06B048</v>
      </c>
      <c r="B1057" t="s">
        <v>739</v>
      </c>
      <c r="C1057" t="s">
        <v>39</v>
      </c>
      <c r="D1057" t="s">
        <v>21</v>
      </c>
      <c r="E1057" t="s">
        <v>61</v>
      </c>
      <c r="F1057" t="s">
        <v>158</v>
      </c>
      <c r="G1057">
        <v>51.573</v>
      </c>
      <c r="J1057" s="6" t="str">
        <f>IFERROR(Info_Camas[[#This Row],[Lineas]]/Info_Camas[[#This Row],[Cortinas]],"Pendiente")</f>
        <v>Pendiente</v>
      </c>
    </row>
    <row r="1058" spans="1:10" hidden="1" x14ac:dyDescent="0.25">
      <c r="A1058" t="str">
        <f>+_xlfn.CONCAT(Info_Camas[[#This Row],[Bloque]],Info_Camas[[#This Row],[Lado]],Info_Camas[[#This Row],[Cama]])</f>
        <v>06A049</v>
      </c>
      <c r="B1058" t="s">
        <v>739</v>
      </c>
      <c r="C1058" t="s">
        <v>39</v>
      </c>
      <c r="D1058" t="s">
        <v>15</v>
      </c>
      <c r="E1058" t="s">
        <v>64</v>
      </c>
      <c r="F1058" t="s">
        <v>161</v>
      </c>
      <c r="G1058">
        <v>51.573</v>
      </c>
      <c r="J1058" s="6" t="str">
        <f>IFERROR(Info_Camas[[#This Row],[Lineas]]/Info_Camas[[#This Row],[Cortinas]],"Pendiente")</f>
        <v>Pendiente</v>
      </c>
    </row>
    <row r="1059" spans="1:10" hidden="1" x14ac:dyDescent="0.25">
      <c r="A1059" t="str">
        <f>+_xlfn.CONCAT(Info_Camas[[#This Row],[Bloque]],Info_Camas[[#This Row],[Lado]],Info_Camas[[#This Row],[Cama]])</f>
        <v>06B049</v>
      </c>
      <c r="B1059" t="s">
        <v>739</v>
      </c>
      <c r="C1059" t="s">
        <v>39</v>
      </c>
      <c r="D1059" t="s">
        <v>21</v>
      </c>
      <c r="E1059" t="s">
        <v>64</v>
      </c>
      <c r="F1059" t="s">
        <v>161</v>
      </c>
      <c r="G1059">
        <v>51.573</v>
      </c>
      <c r="J1059" s="6" t="str">
        <f>IFERROR(Info_Camas[[#This Row],[Lineas]]/Info_Camas[[#This Row],[Cortinas]],"Pendiente")</f>
        <v>Pendiente</v>
      </c>
    </row>
    <row r="1060" spans="1:10" hidden="1" x14ac:dyDescent="0.25">
      <c r="A1060" t="str">
        <f>+_xlfn.CONCAT(Info_Camas[[#This Row],[Bloque]],Info_Camas[[#This Row],[Lado]],Info_Camas[[#This Row],[Cama]])</f>
        <v>06A050</v>
      </c>
      <c r="B1060" t="s">
        <v>739</v>
      </c>
      <c r="C1060" t="s">
        <v>39</v>
      </c>
      <c r="D1060" t="s">
        <v>15</v>
      </c>
      <c r="E1060" t="s">
        <v>64</v>
      </c>
      <c r="F1060" t="s">
        <v>163</v>
      </c>
      <c r="G1060">
        <v>51.573</v>
      </c>
      <c r="J1060" s="6" t="str">
        <f>IFERROR(Info_Camas[[#This Row],[Lineas]]/Info_Camas[[#This Row],[Cortinas]],"Pendiente")</f>
        <v>Pendiente</v>
      </c>
    </row>
    <row r="1061" spans="1:10" hidden="1" x14ac:dyDescent="0.25">
      <c r="A1061" t="str">
        <f>+_xlfn.CONCAT(Info_Camas[[#This Row],[Bloque]],Info_Camas[[#This Row],[Lado]],Info_Camas[[#This Row],[Cama]])</f>
        <v>06B050</v>
      </c>
      <c r="B1061" t="s">
        <v>739</v>
      </c>
      <c r="C1061" t="s">
        <v>39</v>
      </c>
      <c r="D1061" t="s">
        <v>21</v>
      </c>
      <c r="E1061" t="s">
        <v>64</v>
      </c>
      <c r="F1061" t="s">
        <v>163</v>
      </c>
      <c r="G1061">
        <v>51.573</v>
      </c>
      <c r="J1061" s="6" t="str">
        <f>IFERROR(Info_Camas[[#This Row],[Lineas]]/Info_Camas[[#This Row],[Cortinas]],"Pendiente")</f>
        <v>Pendiente</v>
      </c>
    </row>
    <row r="1062" spans="1:10" hidden="1" x14ac:dyDescent="0.25">
      <c r="A1062" t="str">
        <f>+_xlfn.CONCAT(Info_Camas[[#This Row],[Bloque]],Info_Camas[[#This Row],[Lado]],Info_Camas[[#This Row],[Cama]])</f>
        <v>06A051</v>
      </c>
      <c r="B1062" t="s">
        <v>739</v>
      </c>
      <c r="C1062" t="s">
        <v>39</v>
      </c>
      <c r="D1062" t="s">
        <v>15</v>
      </c>
      <c r="E1062" t="s">
        <v>64</v>
      </c>
      <c r="F1062" t="s">
        <v>165</v>
      </c>
      <c r="G1062">
        <v>45.838900000000002</v>
      </c>
      <c r="J1062" s="6" t="str">
        <f>IFERROR(Info_Camas[[#This Row],[Lineas]]/Info_Camas[[#This Row],[Cortinas]],"Pendiente")</f>
        <v>Pendiente</v>
      </c>
    </row>
    <row r="1063" spans="1:10" hidden="1" x14ac:dyDescent="0.25">
      <c r="A1063" t="str">
        <f>+_xlfn.CONCAT(Info_Camas[[#This Row],[Bloque]],Info_Camas[[#This Row],[Lado]],Info_Camas[[#This Row],[Cama]])</f>
        <v>06B051</v>
      </c>
      <c r="B1063" t="s">
        <v>739</v>
      </c>
      <c r="C1063" t="s">
        <v>39</v>
      </c>
      <c r="D1063" t="s">
        <v>21</v>
      </c>
      <c r="E1063" t="s">
        <v>64</v>
      </c>
      <c r="F1063" t="s">
        <v>165</v>
      </c>
      <c r="G1063">
        <v>51.573</v>
      </c>
      <c r="J1063" s="6" t="str">
        <f>IFERROR(Info_Camas[[#This Row],[Lineas]]/Info_Camas[[#This Row],[Cortinas]],"Pendiente")</f>
        <v>Pendiente</v>
      </c>
    </row>
    <row r="1064" spans="1:10" hidden="1" x14ac:dyDescent="0.25">
      <c r="A1064" t="str">
        <f>+_xlfn.CONCAT(Info_Camas[[#This Row],[Bloque]],Info_Camas[[#This Row],[Lado]],Info_Camas[[#This Row],[Cama]])</f>
        <v>06A052</v>
      </c>
      <c r="B1064" t="s">
        <v>739</v>
      </c>
      <c r="C1064" t="s">
        <v>39</v>
      </c>
      <c r="D1064" t="s">
        <v>15</v>
      </c>
      <c r="E1064" t="s">
        <v>64</v>
      </c>
      <c r="F1064" t="s">
        <v>167</v>
      </c>
      <c r="G1064">
        <v>51.573</v>
      </c>
      <c r="J1064" s="6" t="str">
        <f>IFERROR(Info_Camas[[#This Row],[Lineas]]/Info_Camas[[#This Row],[Cortinas]],"Pendiente")</f>
        <v>Pendiente</v>
      </c>
    </row>
    <row r="1065" spans="1:10" hidden="1" x14ac:dyDescent="0.25">
      <c r="A1065" t="str">
        <f>+_xlfn.CONCAT(Info_Camas[[#This Row],[Bloque]],Info_Camas[[#This Row],[Lado]],Info_Camas[[#This Row],[Cama]])</f>
        <v>06B052</v>
      </c>
      <c r="B1065" t="s">
        <v>739</v>
      </c>
      <c r="C1065" t="s">
        <v>39</v>
      </c>
      <c r="D1065" t="s">
        <v>21</v>
      </c>
      <c r="E1065" t="s">
        <v>64</v>
      </c>
      <c r="F1065" t="s">
        <v>167</v>
      </c>
      <c r="G1065">
        <v>51.573</v>
      </c>
      <c r="J1065" s="6" t="str">
        <f>IFERROR(Info_Camas[[#This Row],[Lineas]]/Info_Camas[[#This Row],[Cortinas]],"Pendiente")</f>
        <v>Pendiente</v>
      </c>
    </row>
    <row r="1066" spans="1:10" hidden="1" x14ac:dyDescent="0.25">
      <c r="A1066" t="str">
        <f>+_xlfn.CONCAT(Info_Camas[[#This Row],[Bloque]],Info_Camas[[#This Row],[Lado]],Info_Camas[[#This Row],[Cama]])</f>
        <v>06A053</v>
      </c>
      <c r="B1066" t="s">
        <v>739</v>
      </c>
      <c r="C1066" t="s">
        <v>39</v>
      </c>
      <c r="D1066" t="s">
        <v>15</v>
      </c>
      <c r="E1066" t="s">
        <v>67</v>
      </c>
      <c r="F1066" t="s">
        <v>169</v>
      </c>
      <c r="G1066">
        <v>51.573</v>
      </c>
      <c r="J1066" s="6" t="str">
        <f>IFERROR(Info_Camas[[#This Row],[Lineas]]/Info_Camas[[#This Row],[Cortinas]],"Pendiente")</f>
        <v>Pendiente</v>
      </c>
    </row>
    <row r="1067" spans="1:10" hidden="1" x14ac:dyDescent="0.25">
      <c r="A1067" t="str">
        <f>+_xlfn.CONCAT(Info_Camas[[#This Row],[Bloque]],Info_Camas[[#This Row],[Lado]],Info_Camas[[#This Row],[Cama]])</f>
        <v>06B053</v>
      </c>
      <c r="B1067" t="s">
        <v>739</v>
      </c>
      <c r="C1067" t="s">
        <v>39</v>
      </c>
      <c r="D1067" t="s">
        <v>21</v>
      </c>
      <c r="E1067" t="s">
        <v>67</v>
      </c>
      <c r="F1067" t="s">
        <v>169</v>
      </c>
      <c r="G1067">
        <v>51.573</v>
      </c>
      <c r="J1067" s="6" t="str">
        <f>IFERROR(Info_Camas[[#This Row],[Lineas]]/Info_Camas[[#This Row],[Cortinas]],"Pendiente")</f>
        <v>Pendiente</v>
      </c>
    </row>
    <row r="1068" spans="1:10" hidden="1" x14ac:dyDescent="0.25">
      <c r="A1068" t="str">
        <f>+_xlfn.CONCAT(Info_Camas[[#This Row],[Bloque]],Info_Camas[[#This Row],[Lado]],Info_Camas[[#This Row],[Cama]])</f>
        <v>06A054</v>
      </c>
      <c r="B1068" t="s">
        <v>739</v>
      </c>
      <c r="C1068" t="s">
        <v>39</v>
      </c>
      <c r="D1068" t="s">
        <v>15</v>
      </c>
      <c r="E1068" t="s">
        <v>67</v>
      </c>
      <c r="F1068" t="s">
        <v>171</v>
      </c>
      <c r="G1068">
        <v>51.573</v>
      </c>
      <c r="J1068" s="6" t="str">
        <f>IFERROR(Info_Camas[[#This Row],[Lineas]]/Info_Camas[[#This Row],[Cortinas]],"Pendiente")</f>
        <v>Pendiente</v>
      </c>
    </row>
    <row r="1069" spans="1:10" hidden="1" x14ac:dyDescent="0.25">
      <c r="A1069" t="str">
        <f>+_xlfn.CONCAT(Info_Camas[[#This Row],[Bloque]],Info_Camas[[#This Row],[Lado]],Info_Camas[[#This Row],[Cama]])</f>
        <v>06B054</v>
      </c>
      <c r="B1069" t="s">
        <v>739</v>
      </c>
      <c r="C1069" t="s">
        <v>39</v>
      </c>
      <c r="D1069" t="s">
        <v>21</v>
      </c>
      <c r="E1069" t="s">
        <v>67</v>
      </c>
      <c r="F1069" t="s">
        <v>171</v>
      </c>
      <c r="G1069">
        <v>27.222899999999999</v>
      </c>
      <c r="J1069" s="6" t="str">
        <f>IFERROR(Info_Camas[[#This Row],[Lineas]]/Info_Camas[[#This Row],[Cortinas]],"Pendiente")</f>
        <v>Pendiente</v>
      </c>
    </row>
    <row r="1070" spans="1:10" hidden="1" x14ac:dyDescent="0.25">
      <c r="A1070" t="str">
        <f>+_xlfn.CONCAT(Info_Camas[[#This Row],[Bloque]],Info_Camas[[#This Row],[Lado]],Info_Camas[[#This Row],[Cama]])</f>
        <v>06A055</v>
      </c>
      <c r="B1070" t="s">
        <v>739</v>
      </c>
      <c r="C1070" t="s">
        <v>39</v>
      </c>
      <c r="D1070" t="s">
        <v>15</v>
      </c>
      <c r="E1070" t="s">
        <v>67</v>
      </c>
      <c r="F1070" t="s">
        <v>173</v>
      </c>
      <c r="G1070">
        <v>51.573</v>
      </c>
      <c r="J1070" s="6" t="str">
        <f>IFERROR(Info_Camas[[#This Row],[Lineas]]/Info_Camas[[#This Row],[Cortinas]],"Pendiente")</f>
        <v>Pendiente</v>
      </c>
    </row>
    <row r="1071" spans="1:10" hidden="1" x14ac:dyDescent="0.25">
      <c r="A1071" t="str">
        <f>+_xlfn.CONCAT(Info_Camas[[#This Row],[Bloque]],Info_Camas[[#This Row],[Lado]],Info_Camas[[#This Row],[Cama]])</f>
        <v>06B055</v>
      </c>
      <c r="B1071" t="s">
        <v>739</v>
      </c>
      <c r="C1071" t="s">
        <v>39</v>
      </c>
      <c r="D1071" t="s">
        <v>21</v>
      </c>
      <c r="E1071" t="s">
        <v>67</v>
      </c>
      <c r="F1071" t="s">
        <v>173</v>
      </c>
      <c r="G1071">
        <v>51.573</v>
      </c>
      <c r="J1071" s="6" t="str">
        <f>IFERROR(Info_Camas[[#This Row],[Lineas]]/Info_Camas[[#This Row],[Cortinas]],"Pendiente")</f>
        <v>Pendiente</v>
      </c>
    </row>
    <row r="1072" spans="1:10" hidden="1" x14ac:dyDescent="0.25">
      <c r="A1072" t="str">
        <f>+_xlfn.CONCAT(Info_Camas[[#This Row],[Bloque]],Info_Camas[[#This Row],[Lado]],Info_Camas[[#This Row],[Cama]])</f>
        <v>06A056</v>
      </c>
      <c r="B1072" t="s">
        <v>739</v>
      </c>
      <c r="C1072" t="s">
        <v>39</v>
      </c>
      <c r="D1072" t="s">
        <v>15</v>
      </c>
      <c r="E1072" t="s">
        <v>67</v>
      </c>
      <c r="F1072" t="s">
        <v>175</v>
      </c>
      <c r="G1072">
        <v>51.573</v>
      </c>
      <c r="J1072" s="6" t="str">
        <f>IFERROR(Info_Camas[[#This Row],[Lineas]]/Info_Camas[[#This Row],[Cortinas]],"Pendiente")</f>
        <v>Pendiente</v>
      </c>
    </row>
    <row r="1073" spans="1:10" hidden="1" x14ac:dyDescent="0.25">
      <c r="A1073" t="str">
        <f>+_xlfn.CONCAT(Info_Camas[[#This Row],[Bloque]],Info_Camas[[#This Row],[Lado]],Info_Camas[[#This Row],[Cama]])</f>
        <v>06B056</v>
      </c>
      <c r="B1073" t="s">
        <v>739</v>
      </c>
      <c r="C1073" t="s">
        <v>39</v>
      </c>
      <c r="D1073" t="s">
        <v>21</v>
      </c>
      <c r="E1073" t="s">
        <v>67</v>
      </c>
      <c r="F1073" t="s">
        <v>175</v>
      </c>
      <c r="G1073">
        <v>51.573</v>
      </c>
      <c r="J1073" s="6" t="str">
        <f>IFERROR(Info_Camas[[#This Row],[Lineas]]/Info_Camas[[#This Row],[Cortinas]],"Pendiente")</f>
        <v>Pendiente</v>
      </c>
    </row>
    <row r="1074" spans="1:10" hidden="1" x14ac:dyDescent="0.25">
      <c r="A1074" t="str">
        <f>+_xlfn.CONCAT(Info_Camas[[#This Row],[Bloque]],Info_Camas[[#This Row],[Lado]],Info_Camas[[#This Row],[Cama]])</f>
        <v>06A057</v>
      </c>
      <c r="B1074" t="s">
        <v>739</v>
      </c>
      <c r="C1074" t="s">
        <v>39</v>
      </c>
      <c r="D1074" t="s">
        <v>15</v>
      </c>
      <c r="E1074" t="s">
        <v>71</v>
      </c>
      <c r="F1074" t="s">
        <v>177</v>
      </c>
      <c r="G1074">
        <v>51.573</v>
      </c>
      <c r="J1074" s="6" t="str">
        <f>IFERROR(Info_Camas[[#This Row],[Lineas]]/Info_Camas[[#This Row],[Cortinas]],"Pendiente")</f>
        <v>Pendiente</v>
      </c>
    </row>
    <row r="1075" spans="1:10" hidden="1" x14ac:dyDescent="0.25">
      <c r="A1075" t="str">
        <f>+_xlfn.CONCAT(Info_Camas[[#This Row],[Bloque]],Info_Camas[[#This Row],[Lado]],Info_Camas[[#This Row],[Cama]])</f>
        <v>06B057</v>
      </c>
      <c r="B1075" t="s">
        <v>739</v>
      </c>
      <c r="C1075" t="s">
        <v>39</v>
      </c>
      <c r="D1075" t="s">
        <v>21</v>
      </c>
      <c r="E1075" t="s">
        <v>71</v>
      </c>
      <c r="F1075" t="s">
        <v>177</v>
      </c>
      <c r="G1075">
        <v>25.7865</v>
      </c>
      <c r="J1075" s="6" t="str">
        <f>IFERROR(Info_Camas[[#This Row],[Lineas]]/Info_Camas[[#This Row],[Cortinas]],"Pendiente")</f>
        <v>Pendiente</v>
      </c>
    </row>
    <row r="1076" spans="1:10" hidden="1" x14ac:dyDescent="0.25">
      <c r="A1076" t="str">
        <f>+_xlfn.CONCAT(Info_Camas[[#This Row],[Bloque]],Info_Camas[[#This Row],[Lado]],Info_Camas[[#This Row],[Cama]])</f>
        <v>06A058</v>
      </c>
      <c r="B1076" t="s">
        <v>739</v>
      </c>
      <c r="C1076" t="s">
        <v>39</v>
      </c>
      <c r="D1076" t="s">
        <v>15</v>
      </c>
      <c r="E1076" t="s">
        <v>71</v>
      </c>
      <c r="F1076" t="s">
        <v>179</v>
      </c>
      <c r="G1076">
        <v>51.573</v>
      </c>
      <c r="J1076" s="6" t="str">
        <f>IFERROR(Info_Camas[[#This Row],[Lineas]]/Info_Camas[[#This Row],[Cortinas]],"Pendiente")</f>
        <v>Pendiente</v>
      </c>
    </row>
    <row r="1077" spans="1:10" hidden="1" x14ac:dyDescent="0.25">
      <c r="A1077" t="str">
        <f>+_xlfn.CONCAT(Info_Camas[[#This Row],[Bloque]],Info_Camas[[#This Row],[Lado]],Info_Camas[[#This Row],[Cama]])</f>
        <v>06B058</v>
      </c>
      <c r="B1077" t="s">
        <v>739</v>
      </c>
      <c r="C1077" t="s">
        <v>39</v>
      </c>
      <c r="D1077" t="s">
        <v>21</v>
      </c>
      <c r="E1077" t="s">
        <v>71</v>
      </c>
      <c r="F1077" t="s">
        <v>179</v>
      </c>
      <c r="G1077">
        <v>51.573</v>
      </c>
      <c r="J1077" s="6" t="str">
        <f>IFERROR(Info_Camas[[#This Row],[Lineas]]/Info_Camas[[#This Row],[Cortinas]],"Pendiente")</f>
        <v>Pendiente</v>
      </c>
    </row>
    <row r="1078" spans="1:10" hidden="1" x14ac:dyDescent="0.25">
      <c r="A1078" t="str">
        <f>+_xlfn.CONCAT(Info_Camas[[#This Row],[Bloque]],Info_Camas[[#This Row],[Lado]],Info_Camas[[#This Row],[Cama]])</f>
        <v>06A059</v>
      </c>
      <c r="B1078" t="s">
        <v>739</v>
      </c>
      <c r="C1078" t="s">
        <v>39</v>
      </c>
      <c r="D1078" t="s">
        <v>15</v>
      </c>
      <c r="E1078" t="s">
        <v>71</v>
      </c>
      <c r="F1078" t="s">
        <v>182</v>
      </c>
      <c r="G1078">
        <v>51.573</v>
      </c>
      <c r="J1078" s="6" t="str">
        <f>IFERROR(Info_Camas[[#This Row],[Lineas]]/Info_Camas[[#This Row],[Cortinas]],"Pendiente")</f>
        <v>Pendiente</v>
      </c>
    </row>
    <row r="1079" spans="1:10" hidden="1" x14ac:dyDescent="0.25">
      <c r="A1079" t="str">
        <f>+_xlfn.CONCAT(Info_Camas[[#This Row],[Bloque]],Info_Camas[[#This Row],[Lado]],Info_Camas[[#This Row],[Cama]])</f>
        <v>06B059</v>
      </c>
      <c r="B1079" t="s">
        <v>739</v>
      </c>
      <c r="C1079" t="s">
        <v>39</v>
      </c>
      <c r="D1079" t="s">
        <v>21</v>
      </c>
      <c r="E1079" t="s">
        <v>71</v>
      </c>
      <c r="F1079" t="s">
        <v>182</v>
      </c>
      <c r="G1079">
        <v>37.250999999999998</v>
      </c>
      <c r="J1079" s="6" t="str">
        <f>IFERROR(Info_Camas[[#This Row],[Lineas]]/Info_Camas[[#This Row],[Cortinas]],"Pendiente")</f>
        <v>Pendiente</v>
      </c>
    </row>
    <row r="1080" spans="1:10" hidden="1" x14ac:dyDescent="0.25">
      <c r="A1080" t="str">
        <f>+_xlfn.CONCAT(Info_Camas[[#This Row],[Bloque]],Info_Camas[[#This Row],[Lado]],Info_Camas[[#This Row],[Cama]])</f>
        <v>06A060</v>
      </c>
      <c r="B1080" t="s">
        <v>739</v>
      </c>
      <c r="C1080" t="s">
        <v>39</v>
      </c>
      <c r="D1080" t="s">
        <v>15</v>
      </c>
      <c r="E1080" t="s">
        <v>71</v>
      </c>
      <c r="F1080" t="s">
        <v>184</v>
      </c>
      <c r="G1080">
        <v>51.573</v>
      </c>
      <c r="J1080" s="6" t="str">
        <f>IFERROR(Info_Camas[[#This Row],[Lineas]]/Info_Camas[[#This Row],[Cortinas]],"Pendiente")</f>
        <v>Pendiente</v>
      </c>
    </row>
    <row r="1081" spans="1:10" hidden="1" x14ac:dyDescent="0.25">
      <c r="A1081" t="str">
        <f>+_xlfn.CONCAT(Info_Camas[[#This Row],[Bloque]],Info_Camas[[#This Row],[Lado]],Info_Camas[[#This Row],[Cama]])</f>
        <v>06B060</v>
      </c>
      <c r="B1081" t="s">
        <v>739</v>
      </c>
      <c r="C1081" t="s">
        <v>39</v>
      </c>
      <c r="D1081" t="s">
        <v>21</v>
      </c>
      <c r="E1081" t="s">
        <v>71</v>
      </c>
      <c r="F1081" t="s">
        <v>184</v>
      </c>
      <c r="G1081">
        <v>8.5954999999999995</v>
      </c>
      <c r="J1081" s="6" t="str">
        <f>IFERROR(Info_Camas[[#This Row],[Lineas]]/Info_Camas[[#This Row],[Cortinas]],"Pendiente")</f>
        <v>Pendiente</v>
      </c>
    </row>
    <row r="1082" spans="1:10" hidden="1" x14ac:dyDescent="0.25">
      <c r="A1082" t="str">
        <f>+_xlfn.CONCAT(Info_Camas[[#This Row],[Bloque]],Info_Camas[[#This Row],[Lado]],Info_Camas[[#This Row],[Cama]])</f>
        <v>06A061</v>
      </c>
      <c r="B1082" t="s">
        <v>739</v>
      </c>
      <c r="C1082" t="s">
        <v>39</v>
      </c>
      <c r="D1082" t="s">
        <v>15</v>
      </c>
      <c r="E1082" t="s">
        <v>74</v>
      </c>
      <c r="F1082" t="s">
        <v>186</v>
      </c>
      <c r="G1082">
        <v>24.357700000000001</v>
      </c>
      <c r="J1082" s="6" t="str">
        <f>IFERROR(Info_Camas[[#This Row],[Lineas]]/Info_Camas[[#This Row],[Cortinas]],"Pendiente")</f>
        <v>Pendiente</v>
      </c>
    </row>
    <row r="1083" spans="1:10" hidden="1" x14ac:dyDescent="0.25">
      <c r="A1083" t="str">
        <f>+_xlfn.CONCAT(Info_Camas[[#This Row],[Bloque]],Info_Camas[[#This Row],[Lado]],Info_Camas[[#This Row],[Cama]])</f>
        <v>06B061</v>
      </c>
      <c r="B1083" t="s">
        <v>739</v>
      </c>
      <c r="C1083" t="s">
        <v>39</v>
      </c>
      <c r="D1083" t="s">
        <v>21</v>
      </c>
      <c r="E1083" t="s">
        <v>74</v>
      </c>
      <c r="F1083" t="s">
        <v>186</v>
      </c>
      <c r="G1083">
        <v>45.842700000000001</v>
      </c>
      <c r="J1083" s="6" t="str">
        <f>IFERROR(Info_Camas[[#This Row],[Lineas]]/Info_Camas[[#This Row],[Cortinas]],"Pendiente")</f>
        <v>Pendiente</v>
      </c>
    </row>
    <row r="1084" spans="1:10" hidden="1" x14ac:dyDescent="0.25">
      <c r="A1084" t="str">
        <f>+_xlfn.CONCAT(Info_Camas[[#This Row],[Bloque]],Info_Camas[[#This Row],[Lado]],Info_Camas[[#This Row],[Cama]])</f>
        <v>06A062</v>
      </c>
      <c r="B1084" t="s">
        <v>739</v>
      </c>
      <c r="C1084" t="s">
        <v>39</v>
      </c>
      <c r="D1084" t="s">
        <v>15</v>
      </c>
      <c r="E1084" t="s">
        <v>74</v>
      </c>
      <c r="F1084" t="s">
        <v>188</v>
      </c>
      <c r="G1084">
        <v>51.573</v>
      </c>
      <c r="J1084" s="6" t="str">
        <f>IFERROR(Info_Camas[[#This Row],[Lineas]]/Info_Camas[[#This Row],[Cortinas]],"Pendiente")</f>
        <v>Pendiente</v>
      </c>
    </row>
    <row r="1085" spans="1:10" hidden="1" x14ac:dyDescent="0.25">
      <c r="A1085" t="str">
        <f>+_xlfn.CONCAT(Info_Camas[[#This Row],[Bloque]],Info_Camas[[#This Row],[Lado]],Info_Camas[[#This Row],[Cama]])</f>
        <v>06B062</v>
      </c>
      <c r="B1085" t="s">
        <v>739</v>
      </c>
      <c r="C1085" t="s">
        <v>39</v>
      </c>
      <c r="D1085" t="s">
        <v>21</v>
      </c>
      <c r="E1085" t="s">
        <v>74</v>
      </c>
      <c r="F1085" t="s">
        <v>188</v>
      </c>
      <c r="G1085">
        <v>45.903599999999997</v>
      </c>
      <c r="J1085" s="6" t="str">
        <f>IFERROR(Info_Camas[[#This Row],[Lineas]]/Info_Camas[[#This Row],[Cortinas]],"Pendiente")</f>
        <v>Pendiente</v>
      </c>
    </row>
    <row r="1086" spans="1:10" hidden="1" x14ac:dyDescent="0.25">
      <c r="A1086" t="str">
        <f>+_xlfn.CONCAT(Info_Camas[[#This Row],[Bloque]],Info_Camas[[#This Row],[Lado]],Info_Camas[[#This Row],[Cama]])</f>
        <v>06A063</v>
      </c>
      <c r="B1086" t="s">
        <v>739</v>
      </c>
      <c r="C1086" t="s">
        <v>39</v>
      </c>
      <c r="D1086" t="s">
        <v>15</v>
      </c>
      <c r="E1086" t="s">
        <v>74</v>
      </c>
      <c r="F1086" t="s">
        <v>190</v>
      </c>
      <c r="G1086">
        <v>37.250999999999998</v>
      </c>
      <c r="J1086" s="6" t="str">
        <f>IFERROR(Info_Camas[[#This Row],[Lineas]]/Info_Camas[[#This Row],[Cortinas]],"Pendiente")</f>
        <v>Pendiente</v>
      </c>
    </row>
    <row r="1087" spans="1:10" hidden="1" x14ac:dyDescent="0.25">
      <c r="A1087" t="str">
        <f>+_xlfn.CONCAT(Info_Camas[[#This Row],[Bloque]],Info_Camas[[#This Row],[Lado]],Info_Camas[[#This Row],[Cama]])</f>
        <v>06B063</v>
      </c>
      <c r="B1087" t="s">
        <v>739</v>
      </c>
      <c r="C1087" t="s">
        <v>39</v>
      </c>
      <c r="D1087" t="s">
        <v>21</v>
      </c>
      <c r="E1087" t="s">
        <v>74</v>
      </c>
      <c r="F1087" t="s">
        <v>190</v>
      </c>
      <c r="G1087">
        <v>37.247199999999999</v>
      </c>
      <c r="J1087" s="6" t="str">
        <f>IFERROR(Info_Camas[[#This Row],[Lineas]]/Info_Camas[[#This Row],[Cortinas]],"Pendiente")</f>
        <v>Pendiente</v>
      </c>
    </row>
    <row r="1088" spans="1:10" hidden="1" x14ac:dyDescent="0.25">
      <c r="A1088" t="str">
        <f>+_xlfn.CONCAT(Info_Camas[[#This Row],[Bloque]],Info_Camas[[#This Row],[Lado]],Info_Camas[[#This Row],[Cama]])</f>
        <v>06A064</v>
      </c>
      <c r="B1088" t="s">
        <v>739</v>
      </c>
      <c r="C1088" t="s">
        <v>39</v>
      </c>
      <c r="D1088" t="s">
        <v>15</v>
      </c>
      <c r="E1088" t="s">
        <v>74</v>
      </c>
      <c r="F1088" t="s">
        <v>192</v>
      </c>
      <c r="G1088">
        <v>51.573</v>
      </c>
      <c r="J1088" s="6" t="str">
        <f>IFERROR(Info_Camas[[#This Row],[Lineas]]/Info_Camas[[#This Row],[Cortinas]],"Pendiente")</f>
        <v>Pendiente</v>
      </c>
    </row>
    <row r="1089" spans="1:10" hidden="1" x14ac:dyDescent="0.25">
      <c r="A1089" t="str">
        <f>+_xlfn.CONCAT(Info_Camas[[#This Row],[Bloque]],Info_Camas[[#This Row],[Lado]],Info_Camas[[#This Row],[Cama]])</f>
        <v>06B064</v>
      </c>
      <c r="B1089" t="s">
        <v>739</v>
      </c>
      <c r="C1089" t="s">
        <v>39</v>
      </c>
      <c r="D1089" t="s">
        <v>21</v>
      </c>
      <c r="E1089" t="s">
        <v>74</v>
      </c>
      <c r="F1089" t="s">
        <v>192</v>
      </c>
      <c r="G1089">
        <v>51.573</v>
      </c>
      <c r="J1089" s="6" t="str">
        <f>IFERROR(Info_Camas[[#This Row],[Lineas]]/Info_Camas[[#This Row],[Cortinas]],"Pendiente")</f>
        <v>Pendiente</v>
      </c>
    </row>
    <row r="1090" spans="1:10" hidden="1" x14ac:dyDescent="0.25">
      <c r="A1090" t="str">
        <f>+_xlfn.CONCAT(Info_Camas[[#This Row],[Bloque]],Info_Camas[[#This Row],[Lado]],Info_Camas[[#This Row],[Cama]])</f>
        <v>06A065</v>
      </c>
      <c r="B1090" t="s">
        <v>739</v>
      </c>
      <c r="C1090" t="s">
        <v>39</v>
      </c>
      <c r="D1090" t="s">
        <v>15</v>
      </c>
      <c r="E1090" t="s">
        <v>77</v>
      </c>
      <c r="F1090" t="s">
        <v>194</v>
      </c>
      <c r="G1090">
        <v>51.573</v>
      </c>
      <c r="J1090" s="6" t="str">
        <f>IFERROR(Info_Camas[[#This Row],[Lineas]]/Info_Camas[[#This Row],[Cortinas]],"Pendiente")</f>
        <v>Pendiente</v>
      </c>
    </row>
    <row r="1091" spans="1:10" hidden="1" x14ac:dyDescent="0.25">
      <c r="A1091" t="str">
        <f>+_xlfn.CONCAT(Info_Camas[[#This Row],[Bloque]],Info_Camas[[#This Row],[Lado]],Info_Camas[[#This Row],[Cama]])</f>
        <v>06B065</v>
      </c>
      <c r="B1091" t="s">
        <v>739</v>
      </c>
      <c r="C1091" t="s">
        <v>39</v>
      </c>
      <c r="D1091" t="s">
        <v>21</v>
      </c>
      <c r="E1091" t="s">
        <v>77</v>
      </c>
      <c r="F1091" t="s">
        <v>194</v>
      </c>
      <c r="G1091">
        <v>51.573</v>
      </c>
      <c r="J1091" s="6" t="str">
        <f>IFERROR(Info_Camas[[#This Row],[Lineas]]/Info_Camas[[#This Row],[Cortinas]],"Pendiente")</f>
        <v>Pendiente</v>
      </c>
    </row>
    <row r="1092" spans="1:10" hidden="1" x14ac:dyDescent="0.25">
      <c r="A1092" t="str">
        <f>+_xlfn.CONCAT(Info_Camas[[#This Row],[Bloque]],Info_Camas[[#This Row],[Lado]],Info_Camas[[#This Row],[Cama]])</f>
        <v>06A066</v>
      </c>
      <c r="B1092" t="s">
        <v>739</v>
      </c>
      <c r="C1092" t="s">
        <v>39</v>
      </c>
      <c r="D1092" t="s">
        <v>15</v>
      </c>
      <c r="E1092" t="s">
        <v>77</v>
      </c>
      <c r="F1092" t="s">
        <v>196</v>
      </c>
      <c r="G1092">
        <v>51.573</v>
      </c>
      <c r="J1092" s="6" t="str">
        <f>IFERROR(Info_Camas[[#This Row],[Lineas]]/Info_Camas[[#This Row],[Cortinas]],"Pendiente")</f>
        <v>Pendiente</v>
      </c>
    </row>
    <row r="1093" spans="1:10" hidden="1" x14ac:dyDescent="0.25">
      <c r="A1093" t="str">
        <f>+_xlfn.CONCAT(Info_Camas[[#This Row],[Bloque]],Info_Camas[[#This Row],[Lado]],Info_Camas[[#This Row],[Cama]])</f>
        <v>06B066</v>
      </c>
      <c r="B1093" t="s">
        <v>739</v>
      </c>
      <c r="C1093" t="s">
        <v>39</v>
      </c>
      <c r="D1093" t="s">
        <v>21</v>
      </c>
      <c r="E1093" t="s">
        <v>77</v>
      </c>
      <c r="F1093" t="s">
        <v>196</v>
      </c>
      <c r="G1093">
        <v>51.573</v>
      </c>
      <c r="J1093" s="6" t="str">
        <f>IFERROR(Info_Camas[[#This Row],[Lineas]]/Info_Camas[[#This Row],[Cortinas]],"Pendiente")</f>
        <v>Pendiente</v>
      </c>
    </row>
    <row r="1094" spans="1:10" hidden="1" x14ac:dyDescent="0.25">
      <c r="A1094" t="str">
        <f>+_xlfn.CONCAT(Info_Camas[[#This Row],[Bloque]],Info_Camas[[#This Row],[Lado]],Info_Camas[[#This Row],[Cama]])</f>
        <v>06A067</v>
      </c>
      <c r="B1094" t="s">
        <v>739</v>
      </c>
      <c r="C1094" t="s">
        <v>39</v>
      </c>
      <c r="D1094" t="s">
        <v>15</v>
      </c>
      <c r="E1094" t="s">
        <v>77</v>
      </c>
      <c r="F1094" t="s">
        <v>198</v>
      </c>
      <c r="G1094">
        <v>51.573</v>
      </c>
      <c r="J1094" s="6" t="str">
        <f>IFERROR(Info_Camas[[#This Row],[Lineas]]/Info_Camas[[#This Row],[Cortinas]],"Pendiente")</f>
        <v>Pendiente</v>
      </c>
    </row>
    <row r="1095" spans="1:10" hidden="1" x14ac:dyDescent="0.25">
      <c r="A1095" t="str">
        <f>+_xlfn.CONCAT(Info_Camas[[#This Row],[Bloque]],Info_Camas[[#This Row],[Lado]],Info_Camas[[#This Row],[Cama]])</f>
        <v>06B067</v>
      </c>
      <c r="B1095" t="s">
        <v>739</v>
      </c>
      <c r="C1095" t="s">
        <v>39</v>
      </c>
      <c r="D1095" t="s">
        <v>21</v>
      </c>
      <c r="E1095" t="s">
        <v>77</v>
      </c>
      <c r="F1095" t="s">
        <v>198</v>
      </c>
      <c r="G1095">
        <v>51.573</v>
      </c>
      <c r="J1095" s="6" t="str">
        <f>IFERROR(Info_Camas[[#This Row],[Lineas]]/Info_Camas[[#This Row],[Cortinas]],"Pendiente")</f>
        <v>Pendiente</v>
      </c>
    </row>
    <row r="1096" spans="1:10" hidden="1" x14ac:dyDescent="0.25">
      <c r="A1096" t="str">
        <f>+_xlfn.CONCAT(Info_Camas[[#This Row],[Bloque]],Info_Camas[[#This Row],[Lado]],Info_Camas[[#This Row],[Cama]])</f>
        <v>06A068</v>
      </c>
      <c r="B1096" t="s">
        <v>739</v>
      </c>
      <c r="C1096" t="s">
        <v>39</v>
      </c>
      <c r="D1096" t="s">
        <v>15</v>
      </c>
      <c r="E1096" t="s">
        <v>77</v>
      </c>
      <c r="F1096" t="s">
        <v>200</v>
      </c>
      <c r="G1096">
        <v>51.573</v>
      </c>
      <c r="J1096" s="6" t="str">
        <f>IFERROR(Info_Camas[[#This Row],[Lineas]]/Info_Camas[[#This Row],[Cortinas]],"Pendiente")</f>
        <v>Pendiente</v>
      </c>
    </row>
    <row r="1097" spans="1:10" hidden="1" x14ac:dyDescent="0.25">
      <c r="A1097" t="str">
        <f>+_xlfn.CONCAT(Info_Camas[[#This Row],[Bloque]],Info_Camas[[#This Row],[Lado]],Info_Camas[[#This Row],[Cama]])</f>
        <v>06B068</v>
      </c>
      <c r="B1097" t="s">
        <v>739</v>
      </c>
      <c r="C1097" t="s">
        <v>39</v>
      </c>
      <c r="D1097" t="s">
        <v>21</v>
      </c>
      <c r="E1097" t="s">
        <v>77</v>
      </c>
      <c r="F1097" t="s">
        <v>200</v>
      </c>
      <c r="G1097">
        <v>51.573</v>
      </c>
      <c r="J1097" s="6" t="str">
        <f>IFERROR(Info_Camas[[#This Row],[Lineas]]/Info_Camas[[#This Row],[Cortinas]],"Pendiente")</f>
        <v>Pendiente</v>
      </c>
    </row>
    <row r="1098" spans="1:10" hidden="1" x14ac:dyDescent="0.25">
      <c r="A1098" t="str">
        <f>+_xlfn.CONCAT(Info_Camas[[#This Row],[Bloque]],Info_Camas[[#This Row],[Lado]],Info_Camas[[#This Row],[Cama]])</f>
        <v>06A069</v>
      </c>
      <c r="B1098" t="s">
        <v>739</v>
      </c>
      <c r="C1098" t="s">
        <v>39</v>
      </c>
      <c r="D1098" t="s">
        <v>15</v>
      </c>
      <c r="E1098" t="s">
        <v>80</v>
      </c>
      <c r="F1098" t="s">
        <v>202</v>
      </c>
      <c r="G1098">
        <v>51.573</v>
      </c>
      <c r="J1098" s="6" t="str">
        <f>IFERROR(Info_Camas[[#This Row],[Lineas]]/Info_Camas[[#This Row],[Cortinas]],"Pendiente")</f>
        <v>Pendiente</v>
      </c>
    </row>
    <row r="1099" spans="1:10" hidden="1" x14ac:dyDescent="0.25">
      <c r="A1099" t="str">
        <f>+_xlfn.CONCAT(Info_Camas[[#This Row],[Bloque]],Info_Camas[[#This Row],[Lado]],Info_Camas[[#This Row],[Cama]])</f>
        <v>06B069</v>
      </c>
      <c r="B1099" t="s">
        <v>739</v>
      </c>
      <c r="C1099" t="s">
        <v>39</v>
      </c>
      <c r="D1099" t="s">
        <v>21</v>
      </c>
      <c r="E1099" t="s">
        <v>80</v>
      </c>
      <c r="F1099" t="s">
        <v>202</v>
      </c>
      <c r="G1099">
        <v>17.187200000000001</v>
      </c>
      <c r="J1099" s="6" t="str">
        <f>IFERROR(Info_Camas[[#This Row],[Lineas]]/Info_Camas[[#This Row],[Cortinas]],"Pendiente")</f>
        <v>Pendiente</v>
      </c>
    </row>
    <row r="1100" spans="1:10" hidden="1" x14ac:dyDescent="0.25">
      <c r="A1100" t="str">
        <f>+_xlfn.CONCAT(Info_Camas[[#This Row],[Bloque]],Info_Camas[[#This Row],[Lado]],Info_Camas[[#This Row],[Cama]])</f>
        <v>06A070</v>
      </c>
      <c r="B1100" t="s">
        <v>739</v>
      </c>
      <c r="C1100" t="s">
        <v>39</v>
      </c>
      <c r="D1100" t="s">
        <v>15</v>
      </c>
      <c r="E1100" t="s">
        <v>80</v>
      </c>
      <c r="F1100" t="s">
        <v>204</v>
      </c>
      <c r="G1100">
        <v>40.116100000000003</v>
      </c>
      <c r="J1100" s="6" t="str">
        <f>IFERROR(Info_Camas[[#This Row],[Lineas]]/Info_Camas[[#This Row],[Cortinas]],"Pendiente")</f>
        <v>Pendiente</v>
      </c>
    </row>
    <row r="1101" spans="1:10" hidden="1" x14ac:dyDescent="0.25">
      <c r="A1101" t="str">
        <f>+_xlfn.CONCAT(Info_Camas[[#This Row],[Bloque]],Info_Camas[[#This Row],[Lado]],Info_Camas[[#This Row],[Cama]])</f>
        <v>06B070</v>
      </c>
      <c r="B1101" t="s">
        <v>739</v>
      </c>
      <c r="C1101" t="s">
        <v>39</v>
      </c>
      <c r="D1101" t="s">
        <v>21</v>
      </c>
      <c r="E1101" t="s">
        <v>80</v>
      </c>
      <c r="F1101" t="s">
        <v>204</v>
      </c>
      <c r="G1101">
        <v>51.573</v>
      </c>
      <c r="J1101" s="6" t="str">
        <f>IFERROR(Info_Camas[[#This Row],[Lineas]]/Info_Camas[[#This Row],[Cortinas]],"Pendiente")</f>
        <v>Pendiente</v>
      </c>
    </row>
    <row r="1102" spans="1:10" hidden="1" x14ac:dyDescent="0.25">
      <c r="A1102" t="str">
        <f>+_xlfn.CONCAT(Info_Camas[[#This Row],[Bloque]],Info_Camas[[#This Row],[Lado]],Info_Camas[[#This Row],[Cama]])</f>
        <v>06A071</v>
      </c>
      <c r="B1102" t="s">
        <v>739</v>
      </c>
      <c r="C1102" t="s">
        <v>39</v>
      </c>
      <c r="D1102" t="s">
        <v>15</v>
      </c>
      <c r="E1102" t="s">
        <v>80</v>
      </c>
      <c r="F1102" t="s">
        <v>206</v>
      </c>
      <c r="G1102">
        <v>51.573</v>
      </c>
      <c r="J1102" s="6" t="str">
        <f>IFERROR(Info_Camas[[#This Row],[Lineas]]/Info_Camas[[#This Row],[Cortinas]],"Pendiente")</f>
        <v>Pendiente</v>
      </c>
    </row>
    <row r="1103" spans="1:10" hidden="1" x14ac:dyDescent="0.25">
      <c r="A1103" t="str">
        <f>+_xlfn.CONCAT(Info_Camas[[#This Row],[Bloque]],Info_Camas[[#This Row],[Lado]],Info_Camas[[#This Row],[Cama]])</f>
        <v>06B071</v>
      </c>
      <c r="B1103" t="s">
        <v>739</v>
      </c>
      <c r="C1103" t="s">
        <v>39</v>
      </c>
      <c r="D1103" t="s">
        <v>21</v>
      </c>
      <c r="E1103" t="s">
        <v>80</v>
      </c>
      <c r="F1103" t="s">
        <v>206</v>
      </c>
      <c r="G1103">
        <v>32.319099999999999</v>
      </c>
      <c r="J1103" s="6" t="str">
        <f>IFERROR(Info_Camas[[#This Row],[Lineas]]/Info_Camas[[#This Row],[Cortinas]],"Pendiente")</f>
        <v>Pendiente</v>
      </c>
    </row>
    <row r="1104" spans="1:10" hidden="1" x14ac:dyDescent="0.25">
      <c r="A1104" t="str">
        <f>+_xlfn.CONCAT(Info_Camas[[#This Row],[Bloque]],Info_Camas[[#This Row],[Lado]],Info_Camas[[#This Row],[Cama]])</f>
        <v>06A072</v>
      </c>
      <c r="B1104" t="s">
        <v>739</v>
      </c>
      <c r="C1104" t="s">
        <v>39</v>
      </c>
      <c r="D1104" t="s">
        <v>15</v>
      </c>
      <c r="E1104" t="s">
        <v>80</v>
      </c>
      <c r="F1104" t="s">
        <v>208</v>
      </c>
      <c r="G1104">
        <v>51.573</v>
      </c>
      <c r="J1104" s="6" t="str">
        <f>IFERROR(Info_Camas[[#This Row],[Lineas]]/Info_Camas[[#This Row],[Cortinas]],"Pendiente")</f>
        <v>Pendiente</v>
      </c>
    </row>
    <row r="1105" spans="1:10" hidden="1" x14ac:dyDescent="0.25">
      <c r="A1105" t="str">
        <f>+_xlfn.CONCAT(Info_Camas[[#This Row],[Bloque]],Info_Camas[[#This Row],[Lado]],Info_Camas[[#This Row],[Cama]])</f>
        <v>06B072</v>
      </c>
      <c r="B1105" t="s">
        <v>739</v>
      </c>
      <c r="C1105" t="s">
        <v>39</v>
      </c>
      <c r="D1105" t="s">
        <v>21</v>
      </c>
      <c r="E1105" t="s">
        <v>80</v>
      </c>
      <c r="F1105" t="s">
        <v>208</v>
      </c>
      <c r="G1105">
        <v>51.573</v>
      </c>
      <c r="J1105" s="6" t="str">
        <f>IFERROR(Info_Camas[[#This Row],[Lineas]]/Info_Camas[[#This Row],[Cortinas]],"Pendiente")</f>
        <v>Pendiente</v>
      </c>
    </row>
    <row r="1106" spans="1:10" hidden="1" x14ac:dyDescent="0.25">
      <c r="A1106" t="str">
        <f>+_xlfn.CONCAT(Info_Camas[[#This Row],[Bloque]],Info_Camas[[#This Row],[Lado]],Info_Camas[[#This Row],[Cama]])</f>
        <v>06A073</v>
      </c>
      <c r="B1106" t="s">
        <v>739</v>
      </c>
      <c r="C1106" t="s">
        <v>39</v>
      </c>
      <c r="D1106" t="s">
        <v>15</v>
      </c>
      <c r="E1106" t="s">
        <v>83</v>
      </c>
      <c r="F1106" t="s">
        <v>210</v>
      </c>
      <c r="G1106">
        <v>51.573</v>
      </c>
      <c r="J1106" s="6" t="str">
        <f>IFERROR(Info_Camas[[#This Row],[Lineas]]/Info_Camas[[#This Row],[Cortinas]],"Pendiente")</f>
        <v>Pendiente</v>
      </c>
    </row>
    <row r="1107" spans="1:10" hidden="1" x14ac:dyDescent="0.25">
      <c r="A1107" t="str">
        <f>+_xlfn.CONCAT(Info_Camas[[#This Row],[Bloque]],Info_Camas[[#This Row],[Lado]],Info_Camas[[#This Row],[Cama]])</f>
        <v>06B073</v>
      </c>
      <c r="B1107" t="s">
        <v>739</v>
      </c>
      <c r="C1107" t="s">
        <v>39</v>
      </c>
      <c r="D1107" t="s">
        <v>21</v>
      </c>
      <c r="E1107" t="s">
        <v>83</v>
      </c>
      <c r="F1107" t="s">
        <v>210</v>
      </c>
      <c r="G1107">
        <v>51.573</v>
      </c>
      <c r="J1107" s="6" t="str">
        <f>IFERROR(Info_Camas[[#This Row],[Lineas]]/Info_Camas[[#This Row],[Cortinas]],"Pendiente")</f>
        <v>Pendiente</v>
      </c>
    </row>
    <row r="1108" spans="1:10" hidden="1" x14ac:dyDescent="0.25">
      <c r="A1108" t="str">
        <f>+_xlfn.CONCAT(Info_Camas[[#This Row],[Bloque]],Info_Camas[[#This Row],[Lado]],Info_Camas[[#This Row],[Cama]])</f>
        <v>06A074</v>
      </c>
      <c r="B1108" t="s">
        <v>739</v>
      </c>
      <c r="C1108" t="s">
        <v>39</v>
      </c>
      <c r="D1108" t="s">
        <v>15</v>
      </c>
      <c r="E1108" t="s">
        <v>83</v>
      </c>
      <c r="F1108" t="s">
        <v>212</v>
      </c>
      <c r="G1108">
        <v>51.573</v>
      </c>
      <c r="J1108" s="6" t="str">
        <f>IFERROR(Info_Camas[[#This Row],[Lineas]]/Info_Camas[[#This Row],[Cortinas]],"Pendiente")</f>
        <v>Pendiente</v>
      </c>
    </row>
    <row r="1109" spans="1:10" hidden="1" x14ac:dyDescent="0.25">
      <c r="A1109" t="str">
        <f>+_xlfn.CONCAT(Info_Camas[[#This Row],[Bloque]],Info_Camas[[#This Row],[Lado]],Info_Camas[[#This Row],[Cama]])</f>
        <v>06B074</v>
      </c>
      <c r="B1109" t="s">
        <v>739</v>
      </c>
      <c r="C1109" t="s">
        <v>39</v>
      </c>
      <c r="D1109" t="s">
        <v>21</v>
      </c>
      <c r="E1109" t="s">
        <v>83</v>
      </c>
      <c r="F1109" t="s">
        <v>212</v>
      </c>
      <c r="G1109">
        <v>51.573</v>
      </c>
      <c r="J1109" s="6" t="str">
        <f>IFERROR(Info_Camas[[#This Row],[Lineas]]/Info_Camas[[#This Row],[Cortinas]],"Pendiente")</f>
        <v>Pendiente</v>
      </c>
    </row>
    <row r="1110" spans="1:10" hidden="1" x14ac:dyDescent="0.25">
      <c r="A1110" t="str">
        <f>+_xlfn.CONCAT(Info_Camas[[#This Row],[Bloque]],Info_Camas[[#This Row],[Lado]],Info_Camas[[#This Row],[Cama]])</f>
        <v>06A075</v>
      </c>
      <c r="B1110" t="s">
        <v>739</v>
      </c>
      <c r="C1110" t="s">
        <v>39</v>
      </c>
      <c r="D1110" t="s">
        <v>15</v>
      </c>
      <c r="E1110" t="s">
        <v>83</v>
      </c>
      <c r="F1110" t="s">
        <v>214</v>
      </c>
      <c r="G1110">
        <v>51.573</v>
      </c>
      <c r="J1110" s="6" t="str">
        <f>IFERROR(Info_Camas[[#This Row],[Lineas]]/Info_Camas[[#This Row],[Cortinas]],"Pendiente")</f>
        <v>Pendiente</v>
      </c>
    </row>
    <row r="1111" spans="1:10" hidden="1" x14ac:dyDescent="0.25">
      <c r="A1111" t="str">
        <f>+_xlfn.CONCAT(Info_Camas[[#This Row],[Bloque]],Info_Camas[[#This Row],[Lado]],Info_Camas[[#This Row],[Cama]])</f>
        <v>06B075</v>
      </c>
      <c r="B1111" t="s">
        <v>739</v>
      </c>
      <c r="C1111" t="s">
        <v>39</v>
      </c>
      <c r="D1111" t="s">
        <v>21</v>
      </c>
      <c r="E1111" t="s">
        <v>83</v>
      </c>
      <c r="F1111" t="s">
        <v>214</v>
      </c>
      <c r="G1111">
        <v>51.573</v>
      </c>
      <c r="J1111" s="6" t="str">
        <f>IFERROR(Info_Camas[[#This Row],[Lineas]]/Info_Camas[[#This Row],[Cortinas]],"Pendiente")</f>
        <v>Pendiente</v>
      </c>
    </row>
    <row r="1112" spans="1:10" hidden="1" x14ac:dyDescent="0.25">
      <c r="A1112" t="str">
        <f>+_xlfn.CONCAT(Info_Camas[[#This Row],[Bloque]],Info_Camas[[#This Row],[Lado]],Info_Camas[[#This Row],[Cama]])</f>
        <v>06A076</v>
      </c>
      <c r="B1112" t="s">
        <v>739</v>
      </c>
      <c r="C1112" t="s">
        <v>39</v>
      </c>
      <c r="D1112" t="s">
        <v>15</v>
      </c>
      <c r="E1112" t="s">
        <v>83</v>
      </c>
      <c r="F1112" t="s">
        <v>216</v>
      </c>
      <c r="G1112">
        <v>51.573</v>
      </c>
      <c r="J1112" s="6" t="str">
        <f>IFERROR(Info_Camas[[#This Row],[Lineas]]/Info_Camas[[#This Row],[Cortinas]],"Pendiente")</f>
        <v>Pendiente</v>
      </c>
    </row>
    <row r="1113" spans="1:10" hidden="1" x14ac:dyDescent="0.25">
      <c r="A1113" t="str">
        <f>+_xlfn.CONCAT(Info_Camas[[#This Row],[Bloque]],Info_Camas[[#This Row],[Lado]],Info_Camas[[#This Row],[Cama]])</f>
        <v>06B076</v>
      </c>
      <c r="B1113" t="s">
        <v>739</v>
      </c>
      <c r="C1113" t="s">
        <v>39</v>
      </c>
      <c r="D1113" t="s">
        <v>21</v>
      </c>
      <c r="E1113" t="s">
        <v>83</v>
      </c>
      <c r="F1113" t="s">
        <v>216</v>
      </c>
      <c r="G1113">
        <v>51.573</v>
      </c>
      <c r="J1113" s="6" t="str">
        <f>IFERROR(Info_Camas[[#This Row],[Lineas]]/Info_Camas[[#This Row],[Cortinas]],"Pendiente")</f>
        <v>Pendiente</v>
      </c>
    </row>
    <row r="1114" spans="1:10" hidden="1" x14ac:dyDescent="0.25">
      <c r="A1114" t="str">
        <f>+_xlfn.CONCAT(Info_Camas[[#This Row],[Bloque]],Info_Camas[[#This Row],[Lado]],Info_Camas[[#This Row],[Cama]])</f>
        <v>06A077</v>
      </c>
      <c r="B1114" t="s">
        <v>739</v>
      </c>
      <c r="C1114" t="s">
        <v>39</v>
      </c>
      <c r="D1114" t="s">
        <v>15</v>
      </c>
      <c r="E1114" t="s">
        <v>86</v>
      </c>
      <c r="F1114" t="s">
        <v>218</v>
      </c>
      <c r="G1114">
        <v>51.573</v>
      </c>
      <c r="J1114" s="6" t="str">
        <f>IFERROR(Info_Camas[[#This Row],[Lineas]]/Info_Camas[[#This Row],[Cortinas]],"Pendiente")</f>
        <v>Pendiente</v>
      </c>
    </row>
    <row r="1115" spans="1:10" hidden="1" x14ac:dyDescent="0.25">
      <c r="A1115" t="str">
        <f>+_xlfn.CONCAT(Info_Camas[[#This Row],[Bloque]],Info_Camas[[#This Row],[Lado]],Info_Camas[[#This Row],[Cama]])</f>
        <v>06B077</v>
      </c>
      <c r="B1115" t="s">
        <v>739</v>
      </c>
      <c r="C1115" t="s">
        <v>39</v>
      </c>
      <c r="D1115" t="s">
        <v>21</v>
      </c>
      <c r="E1115" t="s">
        <v>86</v>
      </c>
      <c r="F1115" t="s">
        <v>218</v>
      </c>
      <c r="G1115">
        <v>51.573</v>
      </c>
      <c r="J1115" s="6" t="str">
        <f>IFERROR(Info_Camas[[#This Row],[Lineas]]/Info_Camas[[#This Row],[Cortinas]],"Pendiente")</f>
        <v>Pendiente</v>
      </c>
    </row>
    <row r="1116" spans="1:10" hidden="1" x14ac:dyDescent="0.25">
      <c r="A1116" t="str">
        <f>+_xlfn.CONCAT(Info_Camas[[#This Row],[Bloque]],Info_Camas[[#This Row],[Lado]],Info_Camas[[#This Row],[Cama]])</f>
        <v>06A078</v>
      </c>
      <c r="B1116" t="s">
        <v>739</v>
      </c>
      <c r="C1116" t="s">
        <v>39</v>
      </c>
      <c r="D1116" t="s">
        <v>15</v>
      </c>
      <c r="E1116" t="s">
        <v>86</v>
      </c>
      <c r="F1116" t="s">
        <v>220</v>
      </c>
      <c r="G1116">
        <v>51.573</v>
      </c>
      <c r="J1116" s="6" t="str">
        <f>IFERROR(Info_Camas[[#This Row],[Lineas]]/Info_Camas[[#This Row],[Cortinas]],"Pendiente")</f>
        <v>Pendiente</v>
      </c>
    </row>
    <row r="1117" spans="1:10" hidden="1" x14ac:dyDescent="0.25">
      <c r="A1117" t="str">
        <f>+_xlfn.CONCAT(Info_Camas[[#This Row],[Bloque]],Info_Camas[[#This Row],[Lado]],Info_Camas[[#This Row],[Cama]])</f>
        <v>06B078</v>
      </c>
      <c r="B1117" t="s">
        <v>739</v>
      </c>
      <c r="C1117" t="s">
        <v>39</v>
      </c>
      <c r="D1117" t="s">
        <v>21</v>
      </c>
      <c r="E1117" t="s">
        <v>86</v>
      </c>
      <c r="F1117" t="s">
        <v>220</v>
      </c>
      <c r="G1117">
        <v>51.573</v>
      </c>
      <c r="J1117" s="6" t="str">
        <f>IFERROR(Info_Camas[[#This Row],[Lineas]]/Info_Camas[[#This Row],[Cortinas]],"Pendiente")</f>
        <v>Pendiente</v>
      </c>
    </row>
    <row r="1118" spans="1:10" hidden="1" x14ac:dyDescent="0.25">
      <c r="A1118" t="str">
        <f>+_xlfn.CONCAT(Info_Camas[[#This Row],[Bloque]],Info_Camas[[#This Row],[Lado]],Info_Camas[[#This Row],[Cama]])</f>
        <v>06A079</v>
      </c>
      <c r="B1118" t="s">
        <v>739</v>
      </c>
      <c r="C1118" t="s">
        <v>39</v>
      </c>
      <c r="D1118" t="s">
        <v>15</v>
      </c>
      <c r="E1118" t="s">
        <v>86</v>
      </c>
      <c r="F1118" t="s">
        <v>222</v>
      </c>
      <c r="G1118">
        <v>51.573</v>
      </c>
      <c r="J1118" s="6" t="str">
        <f>IFERROR(Info_Camas[[#This Row],[Lineas]]/Info_Camas[[#This Row],[Cortinas]],"Pendiente")</f>
        <v>Pendiente</v>
      </c>
    </row>
    <row r="1119" spans="1:10" hidden="1" x14ac:dyDescent="0.25">
      <c r="A1119" t="str">
        <f>+_xlfn.CONCAT(Info_Camas[[#This Row],[Bloque]],Info_Camas[[#This Row],[Lado]],Info_Camas[[#This Row],[Cama]])</f>
        <v>06B079</v>
      </c>
      <c r="B1119" t="s">
        <v>739</v>
      </c>
      <c r="C1119" t="s">
        <v>39</v>
      </c>
      <c r="D1119" t="s">
        <v>21</v>
      </c>
      <c r="E1119" t="s">
        <v>86</v>
      </c>
      <c r="F1119" t="s">
        <v>222</v>
      </c>
      <c r="G1119">
        <v>51.573</v>
      </c>
      <c r="J1119" s="6" t="str">
        <f>IFERROR(Info_Camas[[#This Row],[Lineas]]/Info_Camas[[#This Row],[Cortinas]],"Pendiente")</f>
        <v>Pendiente</v>
      </c>
    </row>
    <row r="1120" spans="1:10" hidden="1" x14ac:dyDescent="0.25">
      <c r="A1120" t="str">
        <f>+_xlfn.CONCAT(Info_Camas[[#This Row],[Bloque]],Info_Camas[[#This Row],[Lado]],Info_Camas[[#This Row],[Cama]])</f>
        <v>06A080</v>
      </c>
      <c r="B1120" t="s">
        <v>739</v>
      </c>
      <c r="C1120" t="s">
        <v>39</v>
      </c>
      <c r="D1120" t="s">
        <v>15</v>
      </c>
      <c r="E1120" t="s">
        <v>86</v>
      </c>
      <c r="F1120" t="s">
        <v>224</v>
      </c>
      <c r="G1120">
        <v>51.573</v>
      </c>
      <c r="J1120" s="6" t="str">
        <f>IFERROR(Info_Camas[[#This Row],[Lineas]]/Info_Camas[[#This Row],[Cortinas]],"Pendiente")</f>
        <v>Pendiente</v>
      </c>
    </row>
    <row r="1121" spans="1:10" hidden="1" x14ac:dyDescent="0.25">
      <c r="A1121" t="str">
        <f>+_xlfn.CONCAT(Info_Camas[[#This Row],[Bloque]],Info_Camas[[#This Row],[Lado]],Info_Camas[[#This Row],[Cama]])</f>
        <v>06B080</v>
      </c>
      <c r="B1121" t="s">
        <v>739</v>
      </c>
      <c r="C1121" t="s">
        <v>39</v>
      </c>
      <c r="D1121" t="s">
        <v>21</v>
      </c>
      <c r="E1121" t="s">
        <v>86</v>
      </c>
      <c r="F1121" t="s">
        <v>224</v>
      </c>
      <c r="G1121">
        <v>51.573</v>
      </c>
      <c r="J1121" s="6" t="str">
        <f>IFERROR(Info_Camas[[#This Row],[Lineas]]/Info_Camas[[#This Row],[Cortinas]],"Pendiente")</f>
        <v>Pendiente</v>
      </c>
    </row>
    <row r="1122" spans="1:10" hidden="1" x14ac:dyDescent="0.25">
      <c r="A1122" t="str">
        <f>+_xlfn.CONCAT(Info_Camas[[#This Row],[Bloque]],Info_Camas[[#This Row],[Lado]],Info_Camas[[#This Row],[Cama]])</f>
        <v>06A081</v>
      </c>
      <c r="B1122" t="s">
        <v>739</v>
      </c>
      <c r="C1122" t="s">
        <v>39</v>
      </c>
      <c r="D1122" t="s">
        <v>15</v>
      </c>
      <c r="E1122" t="s">
        <v>89</v>
      </c>
      <c r="F1122" t="s">
        <v>226</v>
      </c>
      <c r="G1122">
        <v>51.573</v>
      </c>
      <c r="J1122" s="6" t="str">
        <f>IFERROR(Info_Camas[[#This Row],[Lineas]]/Info_Camas[[#This Row],[Cortinas]],"Pendiente")</f>
        <v>Pendiente</v>
      </c>
    </row>
    <row r="1123" spans="1:10" hidden="1" x14ac:dyDescent="0.25">
      <c r="A1123" t="str">
        <f>+_xlfn.CONCAT(Info_Camas[[#This Row],[Bloque]],Info_Camas[[#This Row],[Lado]],Info_Camas[[#This Row],[Cama]])</f>
        <v>06B081</v>
      </c>
      <c r="B1123" t="s">
        <v>739</v>
      </c>
      <c r="C1123" t="s">
        <v>39</v>
      </c>
      <c r="D1123" t="s">
        <v>21</v>
      </c>
      <c r="E1123" t="s">
        <v>89</v>
      </c>
      <c r="F1123" t="s">
        <v>226</v>
      </c>
      <c r="G1123">
        <v>51.573</v>
      </c>
      <c r="J1123" s="6" t="str">
        <f>IFERROR(Info_Camas[[#This Row],[Lineas]]/Info_Camas[[#This Row],[Cortinas]],"Pendiente")</f>
        <v>Pendiente</v>
      </c>
    </row>
    <row r="1124" spans="1:10" hidden="1" x14ac:dyDescent="0.25">
      <c r="A1124" t="str">
        <f>+_xlfn.CONCAT(Info_Camas[[#This Row],[Bloque]],Info_Camas[[#This Row],[Lado]],Info_Camas[[#This Row],[Cama]])</f>
        <v>06A082</v>
      </c>
      <c r="B1124" t="s">
        <v>739</v>
      </c>
      <c r="C1124" t="s">
        <v>39</v>
      </c>
      <c r="D1124" t="s">
        <v>15</v>
      </c>
      <c r="E1124" t="s">
        <v>89</v>
      </c>
      <c r="F1124" t="s">
        <v>229</v>
      </c>
      <c r="G1124">
        <v>51.573</v>
      </c>
      <c r="J1124" s="6" t="str">
        <f>IFERROR(Info_Camas[[#This Row],[Lineas]]/Info_Camas[[#This Row],[Cortinas]],"Pendiente")</f>
        <v>Pendiente</v>
      </c>
    </row>
    <row r="1125" spans="1:10" hidden="1" x14ac:dyDescent="0.25">
      <c r="A1125" t="str">
        <f>+_xlfn.CONCAT(Info_Camas[[#This Row],[Bloque]],Info_Camas[[#This Row],[Lado]],Info_Camas[[#This Row],[Cama]])</f>
        <v>06B082</v>
      </c>
      <c r="B1125" t="s">
        <v>739</v>
      </c>
      <c r="C1125" t="s">
        <v>39</v>
      </c>
      <c r="D1125" t="s">
        <v>21</v>
      </c>
      <c r="E1125" t="s">
        <v>89</v>
      </c>
      <c r="F1125" t="s">
        <v>229</v>
      </c>
      <c r="G1125">
        <v>51.573</v>
      </c>
      <c r="J1125" s="6" t="str">
        <f>IFERROR(Info_Camas[[#This Row],[Lineas]]/Info_Camas[[#This Row],[Cortinas]],"Pendiente")</f>
        <v>Pendiente</v>
      </c>
    </row>
    <row r="1126" spans="1:10" hidden="1" x14ac:dyDescent="0.25">
      <c r="A1126" t="str">
        <f>+_xlfn.CONCAT(Info_Camas[[#This Row],[Bloque]],Info_Camas[[#This Row],[Lado]],Info_Camas[[#This Row],[Cama]])</f>
        <v>06A083</v>
      </c>
      <c r="B1126" t="s">
        <v>739</v>
      </c>
      <c r="C1126" t="s">
        <v>39</v>
      </c>
      <c r="D1126" t="s">
        <v>15</v>
      </c>
      <c r="E1126" t="s">
        <v>89</v>
      </c>
      <c r="F1126" t="s">
        <v>231</v>
      </c>
      <c r="G1126">
        <v>51.573</v>
      </c>
      <c r="J1126" s="6" t="str">
        <f>IFERROR(Info_Camas[[#This Row],[Lineas]]/Info_Camas[[#This Row],[Cortinas]],"Pendiente")</f>
        <v>Pendiente</v>
      </c>
    </row>
    <row r="1127" spans="1:10" hidden="1" x14ac:dyDescent="0.25">
      <c r="A1127" t="str">
        <f>+_xlfn.CONCAT(Info_Camas[[#This Row],[Bloque]],Info_Camas[[#This Row],[Lado]],Info_Camas[[#This Row],[Cama]])</f>
        <v>06B083</v>
      </c>
      <c r="B1127" t="s">
        <v>739</v>
      </c>
      <c r="C1127" t="s">
        <v>39</v>
      </c>
      <c r="D1127" t="s">
        <v>21</v>
      </c>
      <c r="E1127" t="s">
        <v>89</v>
      </c>
      <c r="F1127" t="s">
        <v>231</v>
      </c>
      <c r="G1127">
        <v>51.573</v>
      </c>
      <c r="J1127" s="6" t="str">
        <f>IFERROR(Info_Camas[[#This Row],[Lineas]]/Info_Camas[[#This Row],[Cortinas]],"Pendiente")</f>
        <v>Pendiente</v>
      </c>
    </row>
    <row r="1128" spans="1:10" hidden="1" x14ac:dyDescent="0.25">
      <c r="A1128" t="str">
        <f>+_xlfn.CONCAT(Info_Camas[[#This Row],[Bloque]],Info_Camas[[#This Row],[Lado]],Info_Camas[[#This Row],[Cama]])</f>
        <v>06A084</v>
      </c>
      <c r="B1128" t="s">
        <v>739</v>
      </c>
      <c r="C1128" t="s">
        <v>39</v>
      </c>
      <c r="D1128" t="s">
        <v>15</v>
      </c>
      <c r="E1128" t="s">
        <v>89</v>
      </c>
      <c r="F1128" t="s">
        <v>233</v>
      </c>
      <c r="G1128">
        <v>51.573</v>
      </c>
      <c r="J1128" s="6" t="str">
        <f>IFERROR(Info_Camas[[#This Row],[Lineas]]/Info_Camas[[#This Row],[Cortinas]],"Pendiente")</f>
        <v>Pendiente</v>
      </c>
    </row>
    <row r="1129" spans="1:10" hidden="1" x14ac:dyDescent="0.25">
      <c r="A1129" t="str">
        <f>+_xlfn.CONCAT(Info_Camas[[#This Row],[Bloque]],Info_Camas[[#This Row],[Lado]],Info_Camas[[#This Row],[Cama]])</f>
        <v>06B084</v>
      </c>
      <c r="B1129" t="s">
        <v>739</v>
      </c>
      <c r="C1129" t="s">
        <v>39</v>
      </c>
      <c r="D1129" t="s">
        <v>21</v>
      </c>
      <c r="E1129" t="s">
        <v>89</v>
      </c>
      <c r="F1129" t="s">
        <v>233</v>
      </c>
      <c r="G1129">
        <v>51.573</v>
      </c>
      <c r="J1129" s="6" t="str">
        <f>IFERROR(Info_Camas[[#This Row],[Lineas]]/Info_Camas[[#This Row],[Cortinas]],"Pendiente")</f>
        <v>Pendiente</v>
      </c>
    </row>
    <row r="1130" spans="1:10" hidden="1" x14ac:dyDescent="0.25">
      <c r="A1130" t="str">
        <f>+_xlfn.CONCAT(Info_Camas[[#This Row],[Bloque]],Info_Camas[[#This Row],[Lado]],Info_Camas[[#This Row],[Cama]])</f>
        <v>06A085</v>
      </c>
      <c r="B1130" t="s">
        <v>739</v>
      </c>
      <c r="C1130" t="s">
        <v>39</v>
      </c>
      <c r="D1130" t="s">
        <v>15</v>
      </c>
      <c r="E1130" t="s">
        <v>93</v>
      </c>
      <c r="F1130" t="s">
        <v>235</v>
      </c>
      <c r="G1130">
        <v>51.573</v>
      </c>
      <c r="J1130" s="6" t="str">
        <f>IFERROR(Info_Camas[[#This Row],[Lineas]]/Info_Camas[[#This Row],[Cortinas]],"Pendiente")</f>
        <v>Pendiente</v>
      </c>
    </row>
    <row r="1131" spans="1:10" hidden="1" x14ac:dyDescent="0.25">
      <c r="A1131" t="str">
        <f>+_xlfn.CONCAT(Info_Camas[[#This Row],[Bloque]],Info_Camas[[#This Row],[Lado]],Info_Camas[[#This Row],[Cama]])</f>
        <v>06B085</v>
      </c>
      <c r="B1131" t="s">
        <v>739</v>
      </c>
      <c r="C1131" t="s">
        <v>39</v>
      </c>
      <c r="D1131" t="s">
        <v>21</v>
      </c>
      <c r="E1131" t="s">
        <v>93</v>
      </c>
      <c r="F1131" t="s">
        <v>235</v>
      </c>
      <c r="G1131">
        <v>51.573</v>
      </c>
      <c r="J1131" s="6" t="str">
        <f>IFERROR(Info_Camas[[#This Row],[Lineas]]/Info_Camas[[#This Row],[Cortinas]],"Pendiente")</f>
        <v>Pendiente</v>
      </c>
    </row>
    <row r="1132" spans="1:10" hidden="1" x14ac:dyDescent="0.25">
      <c r="A1132" t="str">
        <f>+_xlfn.CONCAT(Info_Camas[[#This Row],[Bloque]],Info_Camas[[#This Row],[Lado]],Info_Camas[[#This Row],[Cama]])</f>
        <v>06A086</v>
      </c>
      <c r="B1132" t="s">
        <v>739</v>
      </c>
      <c r="C1132" t="s">
        <v>39</v>
      </c>
      <c r="D1132" t="s">
        <v>15</v>
      </c>
      <c r="E1132" t="s">
        <v>93</v>
      </c>
      <c r="F1132" t="s">
        <v>238</v>
      </c>
      <c r="G1132">
        <v>51.573</v>
      </c>
      <c r="J1132" s="6" t="str">
        <f>IFERROR(Info_Camas[[#This Row],[Lineas]]/Info_Camas[[#This Row],[Cortinas]],"Pendiente")</f>
        <v>Pendiente</v>
      </c>
    </row>
    <row r="1133" spans="1:10" hidden="1" x14ac:dyDescent="0.25">
      <c r="A1133" t="str">
        <f>+_xlfn.CONCAT(Info_Camas[[#This Row],[Bloque]],Info_Camas[[#This Row],[Lado]],Info_Camas[[#This Row],[Cama]])</f>
        <v>06B086</v>
      </c>
      <c r="B1133" t="s">
        <v>739</v>
      </c>
      <c r="C1133" t="s">
        <v>39</v>
      </c>
      <c r="D1133" t="s">
        <v>21</v>
      </c>
      <c r="E1133" t="s">
        <v>93</v>
      </c>
      <c r="F1133" t="s">
        <v>238</v>
      </c>
      <c r="G1133">
        <v>51.573</v>
      </c>
      <c r="J1133" s="6" t="str">
        <f>IFERROR(Info_Camas[[#This Row],[Lineas]]/Info_Camas[[#This Row],[Cortinas]],"Pendiente")</f>
        <v>Pendiente</v>
      </c>
    </row>
    <row r="1134" spans="1:10" hidden="1" x14ac:dyDescent="0.25">
      <c r="A1134" t="str">
        <f>+_xlfn.CONCAT(Info_Camas[[#This Row],[Bloque]],Info_Camas[[#This Row],[Lado]],Info_Camas[[#This Row],[Cama]])</f>
        <v>06A087</v>
      </c>
      <c r="B1134" t="s">
        <v>739</v>
      </c>
      <c r="C1134" t="s">
        <v>39</v>
      </c>
      <c r="D1134" t="s">
        <v>15</v>
      </c>
      <c r="E1134" t="s">
        <v>93</v>
      </c>
      <c r="F1134" t="s">
        <v>240</v>
      </c>
      <c r="G1134">
        <v>5.7342000000000004</v>
      </c>
      <c r="J1134" s="6" t="str">
        <f>IFERROR(Info_Camas[[#This Row],[Lineas]]/Info_Camas[[#This Row],[Cortinas]],"Pendiente")</f>
        <v>Pendiente</v>
      </c>
    </row>
    <row r="1135" spans="1:10" hidden="1" x14ac:dyDescent="0.25">
      <c r="A1135" t="str">
        <f>+_xlfn.CONCAT(Info_Camas[[#This Row],[Bloque]],Info_Camas[[#This Row],[Lado]],Info_Camas[[#This Row],[Cama]])</f>
        <v>06B087</v>
      </c>
      <c r="B1135" t="s">
        <v>739</v>
      </c>
      <c r="C1135" t="s">
        <v>39</v>
      </c>
      <c r="D1135" t="s">
        <v>21</v>
      </c>
      <c r="E1135" t="s">
        <v>93</v>
      </c>
      <c r="F1135" t="s">
        <v>240</v>
      </c>
      <c r="G1135">
        <v>51.573</v>
      </c>
      <c r="J1135" s="6" t="str">
        <f>IFERROR(Info_Camas[[#This Row],[Lineas]]/Info_Camas[[#This Row],[Cortinas]],"Pendiente")</f>
        <v>Pendiente</v>
      </c>
    </row>
    <row r="1136" spans="1:10" hidden="1" x14ac:dyDescent="0.25">
      <c r="A1136" t="str">
        <f>+_xlfn.CONCAT(Info_Camas[[#This Row],[Bloque]],Info_Camas[[#This Row],[Lado]],Info_Camas[[#This Row],[Cama]])</f>
        <v>06A088</v>
      </c>
      <c r="B1136" t="s">
        <v>739</v>
      </c>
      <c r="C1136" t="s">
        <v>39</v>
      </c>
      <c r="D1136" t="s">
        <v>15</v>
      </c>
      <c r="E1136" t="s">
        <v>93</v>
      </c>
      <c r="F1136" t="s">
        <v>242</v>
      </c>
      <c r="G1136">
        <v>51.573</v>
      </c>
      <c r="J1136" s="6" t="str">
        <f>IFERROR(Info_Camas[[#This Row],[Lineas]]/Info_Camas[[#This Row],[Cortinas]],"Pendiente")</f>
        <v>Pendiente</v>
      </c>
    </row>
    <row r="1137" spans="1:10" hidden="1" x14ac:dyDescent="0.25">
      <c r="A1137" t="str">
        <f>+_xlfn.CONCAT(Info_Camas[[#This Row],[Bloque]],Info_Camas[[#This Row],[Lado]],Info_Camas[[#This Row],[Cama]])</f>
        <v>06B088</v>
      </c>
      <c r="B1137" t="s">
        <v>739</v>
      </c>
      <c r="C1137" t="s">
        <v>39</v>
      </c>
      <c r="D1137" t="s">
        <v>21</v>
      </c>
      <c r="E1137" t="s">
        <v>93</v>
      </c>
      <c r="F1137" t="s">
        <v>242</v>
      </c>
      <c r="G1137">
        <v>51.573</v>
      </c>
      <c r="J1137" s="6" t="str">
        <f>IFERROR(Info_Camas[[#This Row],[Lineas]]/Info_Camas[[#This Row],[Cortinas]],"Pendiente")</f>
        <v>Pendiente</v>
      </c>
    </row>
    <row r="1138" spans="1:10" hidden="1" x14ac:dyDescent="0.25">
      <c r="A1138" t="str">
        <f>+_xlfn.CONCAT(Info_Camas[[#This Row],[Bloque]],Info_Camas[[#This Row],[Lado]],Info_Camas[[#This Row],[Cama]])</f>
        <v>06A089</v>
      </c>
      <c r="B1138" t="s">
        <v>739</v>
      </c>
      <c r="C1138" t="s">
        <v>39</v>
      </c>
      <c r="D1138" t="s">
        <v>15</v>
      </c>
      <c r="E1138" t="s">
        <v>96</v>
      </c>
      <c r="F1138" t="s">
        <v>244</v>
      </c>
      <c r="G1138">
        <v>51.573</v>
      </c>
      <c r="J1138" s="6" t="str">
        <f>IFERROR(Info_Camas[[#This Row],[Lineas]]/Info_Camas[[#This Row],[Cortinas]],"Pendiente")</f>
        <v>Pendiente</v>
      </c>
    </row>
    <row r="1139" spans="1:10" hidden="1" x14ac:dyDescent="0.25">
      <c r="A1139" t="str">
        <f>+_xlfn.CONCAT(Info_Camas[[#This Row],[Bloque]],Info_Camas[[#This Row],[Lado]],Info_Camas[[#This Row],[Cama]])</f>
        <v>06B089</v>
      </c>
      <c r="B1139" t="s">
        <v>739</v>
      </c>
      <c r="C1139" t="s">
        <v>39</v>
      </c>
      <c r="D1139" t="s">
        <v>21</v>
      </c>
      <c r="E1139" t="s">
        <v>96</v>
      </c>
      <c r="F1139" t="s">
        <v>244</v>
      </c>
      <c r="G1139">
        <v>51.573</v>
      </c>
      <c r="J1139" s="6" t="str">
        <f>IFERROR(Info_Camas[[#This Row],[Lineas]]/Info_Camas[[#This Row],[Cortinas]],"Pendiente")</f>
        <v>Pendiente</v>
      </c>
    </row>
    <row r="1140" spans="1:10" hidden="1" x14ac:dyDescent="0.25">
      <c r="A1140" t="str">
        <f>+_xlfn.CONCAT(Info_Camas[[#This Row],[Bloque]],Info_Camas[[#This Row],[Lado]],Info_Camas[[#This Row],[Cama]])</f>
        <v>06A090</v>
      </c>
      <c r="B1140" t="s">
        <v>739</v>
      </c>
      <c r="C1140" t="s">
        <v>39</v>
      </c>
      <c r="D1140" t="s">
        <v>15</v>
      </c>
      <c r="E1140" t="s">
        <v>96</v>
      </c>
      <c r="F1140" t="s">
        <v>246</v>
      </c>
      <c r="G1140">
        <v>17.5472</v>
      </c>
      <c r="J1140" s="6" t="str">
        <f>IFERROR(Info_Camas[[#This Row],[Lineas]]/Info_Camas[[#This Row],[Cortinas]],"Pendiente")</f>
        <v>Pendiente</v>
      </c>
    </row>
    <row r="1141" spans="1:10" hidden="1" x14ac:dyDescent="0.25">
      <c r="A1141" t="str">
        <f>+_xlfn.CONCAT(Info_Camas[[#This Row],[Bloque]],Info_Camas[[#This Row],[Lado]],Info_Camas[[#This Row],[Cama]])</f>
        <v>06B090</v>
      </c>
      <c r="B1141" t="s">
        <v>739</v>
      </c>
      <c r="C1141" t="s">
        <v>39</v>
      </c>
      <c r="D1141" t="s">
        <v>21</v>
      </c>
      <c r="E1141" t="s">
        <v>96</v>
      </c>
      <c r="F1141" t="s">
        <v>246</v>
      </c>
      <c r="G1141">
        <v>51.573</v>
      </c>
      <c r="J1141" s="6" t="str">
        <f>IFERROR(Info_Camas[[#This Row],[Lineas]]/Info_Camas[[#This Row],[Cortinas]],"Pendiente")</f>
        <v>Pendiente</v>
      </c>
    </row>
    <row r="1142" spans="1:10" hidden="1" x14ac:dyDescent="0.25">
      <c r="A1142" t="str">
        <f>+_xlfn.CONCAT(Info_Camas[[#This Row],[Bloque]],Info_Camas[[#This Row],[Lado]],Info_Camas[[#This Row],[Cama]])</f>
        <v>06A091</v>
      </c>
      <c r="B1142" t="s">
        <v>739</v>
      </c>
      <c r="C1142" t="s">
        <v>39</v>
      </c>
      <c r="D1142" t="s">
        <v>15</v>
      </c>
      <c r="E1142" t="s">
        <v>96</v>
      </c>
      <c r="F1142" t="s">
        <v>248</v>
      </c>
      <c r="G1142">
        <v>51.573</v>
      </c>
      <c r="J1142" s="6" t="str">
        <f>IFERROR(Info_Camas[[#This Row],[Lineas]]/Info_Camas[[#This Row],[Cortinas]],"Pendiente")</f>
        <v>Pendiente</v>
      </c>
    </row>
    <row r="1143" spans="1:10" hidden="1" x14ac:dyDescent="0.25">
      <c r="A1143" t="str">
        <f>+_xlfn.CONCAT(Info_Camas[[#This Row],[Bloque]],Info_Camas[[#This Row],[Lado]],Info_Camas[[#This Row],[Cama]])</f>
        <v>06B091</v>
      </c>
      <c r="B1143" t="s">
        <v>739</v>
      </c>
      <c r="C1143" t="s">
        <v>39</v>
      </c>
      <c r="D1143" t="s">
        <v>21</v>
      </c>
      <c r="E1143" t="s">
        <v>96</v>
      </c>
      <c r="F1143" t="s">
        <v>248</v>
      </c>
      <c r="G1143">
        <v>51.573</v>
      </c>
      <c r="J1143" s="6" t="str">
        <f>IFERROR(Info_Camas[[#This Row],[Lineas]]/Info_Camas[[#This Row],[Cortinas]],"Pendiente")</f>
        <v>Pendiente</v>
      </c>
    </row>
    <row r="1144" spans="1:10" hidden="1" x14ac:dyDescent="0.25">
      <c r="A1144" t="str">
        <f>+_xlfn.CONCAT(Info_Camas[[#This Row],[Bloque]],Info_Camas[[#This Row],[Lado]],Info_Camas[[#This Row],[Cama]])</f>
        <v>06A092</v>
      </c>
      <c r="B1144" t="s">
        <v>739</v>
      </c>
      <c r="C1144" t="s">
        <v>39</v>
      </c>
      <c r="D1144" t="s">
        <v>15</v>
      </c>
      <c r="E1144" t="s">
        <v>96</v>
      </c>
      <c r="F1144" t="s">
        <v>250</v>
      </c>
      <c r="G1144">
        <v>51.573</v>
      </c>
      <c r="J1144" s="6" t="str">
        <f>IFERROR(Info_Camas[[#This Row],[Lineas]]/Info_Camas[[#This Row],[Cortinas]],"Pendiente")</f>
        <v>Pendiente</v>
      </c>
    </row>
    <row r="1145" spans="1:10" hidden="1" x14ac:dyDescent="0.25">
      <c r="A1145" t="str">
        <f>+_xlfn.CONCAT(Info_Camas[[#This Row],[Bloque]],Info_Camas[[#This Row],[Lado]],Info_Camas[[#This Row],[Cama]])</f>
        <v>06B092</v>
      </c>
      <c r="B1145" t="s">
        <v>739</v>
      </c>
      <c r="C1145" t="s">
        <v>39</v>
      </c>
      <c r="D1145" t="s">
        <v>21</v>
      </c>
      <c r="E1145" t="s">
        <v>96</v>
      </c>
      <c r="F1145" t="s">
        <v>250</v>
      </c>
      <c r="G1145">
        <v>51.573</v>
      </c>
      <c r="J1145" s="6" t="str">
        <f>IFERROR(Info_Camas[[#This Row],[Lineas]]/Info_Camas[[#This Row],[Cortinas]],"Pendiente")</f>
        <v>Pendiente</v>
      </c>
    </row>
    <row r="1146" spans="1:10" hidden="1" x14ac:dyDescent="0.25">
      <c r="A1146" t="str">
        <f>+_xlfn.CONCAT(Info_Camas[[#This Row],[Bloque]],Info_Camas[[#This Row],[Lado]],Info_Camas[[#This Row],[Cama]])</f>
        <v>06A093</v>
      </c>
      <c r="B1146" t="s">
        <v>739</v>
      </c>
      <c r="C1146" t="s">
        <v>39</v>
      </c>
      <c r="D1146" t="s">
        <v>15</v>
      </c>
      <c r="E1146" t="s">
        <v>99</v>
      </c>
      <c r="F1146" t="s">
        <v>252</v>
      </c>
      <c r="G1146">
        <v>40.116199999999999</v>
      </c>
      <c r="J1146" s="6" t="str">
        <f>IFERROR(Info_Camas[[#This Row],[Lineas]]/Info_Camas[[#This Row],[Cortinas]],"Pendiente")</f>
        <v>Pendiente</v>
      </c>
    </row>
    <row r="1147" spans="1:10" hidden="1" x14ac:dyDescent="0.25">
      <c r="A1147" t="str">
        <f>+_xlfn.CONCAT(Info_Camas[[#This Row],[Bloque]],Info_Camas[[#This Row],[Lado]],Info_Camas[[#This Row],[Cama]])</f>
        <v>06B093</v>
      </c>
      <c r="B1147" t="s">
        <v>739</v>
      </c>
      <c r="C1147" t="s">
        <v>39</v>
      </c>
      <c r="D1147" t="s">
        <v>21</v>
      </c>
      <c r="E1147" t="s">
        <v>99</v>
      </c>
      <c r="F1147" t="s">
        <v>252</v>
      </c>
      <c r="G1147">
        <v>51.573</v>
      </c>
      <c r="J1147" s="6" t="str">
        <f>IFERROR(Info_Camas[[#This Row],[Lineas]]/Info_Camas[[#This Row],[Cortinas]],"Pendiente")</f>
        <v>Pendiente</v>
      </c>
    </row>
    <row r="1148" spans="1:10" hidden="1" x14ac:dyDescent="0.25">
      <c r="A1148" t="str">
        <f>+_xlfn.CONCAT(Info_Camas[[#This Row],[Bloque]],Info_Camas[[#This Row],[Lado]],Info_Camas[[#This Row],[Cama]])</f>
        <v>06A094</v>
      </c>
      <c r="B1148" t="s">
        <v>739</v>
      </c>
      <c r="C1148" t="s">
        <v>39</v>
      </c>
      <c r="D1148" t="s">
        <v>15</v>
      </c>
      <c r="E1148" t="s">
        <v>99</v>
      </c>
      <c r="F1148" t="s">
        <v>254</v>
      </c>
      <c r="G1148">
        <v>51.573</v>
      </c>
      <c r="J1148" s="6" t="str">
        <f>IFERROR(Info_Camas[[#This Row],[Lineas]]/Info_Camas[[#This Row],[Cortinas]],"Pendiente")</f>
        <v>Pendiente</v>
      </c>
    </row>
    <row r="1149" spans="1:10" hidden="1" x14ac:dyDescent="0.25">
      <c r="A1149" t="str">
        <f>+_xlfn.CONCAT(Info_Camas[[#This Row],[Bloque]],Info_Camas[[#This Row],[Lado]],Info_Camas[[#This Row],[Cama]])</f>
        <v>06B094</v>
      </c>
      <c r="B1149" t="s">
        <v>739</v>
      </c>
      <c r="C1149" t="s">
        <v>39</v>
      </c>
      <c r="D1149" t="s">
        <v>21</v>
      </c>
      <c r="E1149" t="s">
        <v>99</v>
      </c>
      <c r="F1149" t="s">
        <v>254</v>
      </c>
      <c r="G1149">
        <v>51.573</v>
      </c>
      <c r="J1149" s="6" t="str">
        <f>IFERROR(Info_Camas[[#This Row],[Lineas]]/Info_Camas[[#This Row],[Cortinas]],"Pendiente")</f>
        <v>Pendiente</v>
      </c>
    </row>
    <row r="1150" spans="1:10" hidden="1" x14ac:dyDescent="0.25">
      <c r="A1150" t="str">
        <f>+_xlfn.CONCAT(Info_Camas[[#This Row],[Bloque]],Info_Camas[[#This Row],[Lado]],Info_Camas[[#This Row],[Cama]])</f>
        <v>06A095</v>
      </c>
      <c r="B1150" t="s">
        <v>739</v>
      </c>
      <c r="C1150" t="s">
        <v>39</v>
      </c>
      <c r="D1150" t="s">
        <v>15</v>
      </c>
      <c r="E1150" t="s">
        <v>99</v>
      </c>
      <c r="F1150" t="s">
        <v>256</v>
      </c>
      <c r="G1150">
        <v>51.573</v>
      </c>
      <c r="J1150" s="6" t="str">
        <f>IFERROR(Info_Camas[[#This Row],[Lineas]]/Info_Camas[[#This Row],[Cortinas]],"Pendiente")</f>
        <v>Pendiente</v>
      </c>
    </row>
    <row r="1151" spans="1:10" hidden="1" x14ac:dyDescent="0.25">
      <c r="A1151" t="str">
        <f>+_xlfn.CONCAT(Info_Camas[[#This Row],[Bloque]],Info_Camas[[#This Row],[Lado]],Info_Camas[[#This Row],[Cama]])</f>
        <v>06B095</v>
      </c>
      <c r="B1151" t="s">
        <v>739</v>
      </c>
      <c r="C1151" t="s">
        <v>39</v>
      </c>
      <c r="D1151" t="s">
        <v>21</v>
      </c>
      <c r="E1151" t="s">
        <v>99</v>
      </c>
      <c r="F1151" t="s">
        <v>256</v>
      </c>
      <c r="G1151">
        <v>51.573</v>
      </c>
      <c r="J1151" s="6" t="str">
        <f>IFERROR(Info_Camas[[#This Row],[Lineas]]/Info_Camas[[#This Row],[Cortinas]],"Pendiente")</f>
        <v>Pendiente</v>
      </c>
    </row>
    <row r="1152" spans="1:10" hidden="1" x14ac:dyDescent="0.25">
      <c r="A1152" t="str">
        <f>+_xlfn.CONCAT(Info_Camas[[#This Row],[Bloque]],Info_Camas[[#This Row],[Lado]],Info_Camas[[#This Row],[Cama]])</f>
        <v>06A096</v>
      </c>
      <c r="B1152" t="s">
        <v>739</v>
      </c>
      <c r="C1152" t="s">
        <v>39</v>
      </c>
      <c r="D1152" t="s">
        <v>15</v>
      </c>
      <c r="E1152" t="s">
        <v>99</v>
      </c>
      <c r="F1152" t="s">
        <v>258</v>
      </c>
      <c r="G1152">
        <v>51.573</v>
      </c>
      <c r="J1152" s="6" t="str">
        <f>IFERROR(Info_Camas[[#This Row],[Lineas]]/Info_Camas[[#This Row],[Cortinas]],"Pendiente")</f>
        <v>Pendiente</v>
      </c>
    </row>
    <row r="1153" spans="1:10" hidden="1" x14ac:dyDescent="0.25">
      <c r="A1153" t="str">
        <f>+_xlfn.CONCAT(Info_Camas[[#This Row],[Bloque]],Info_Camas[[#This Row],[Lado]],Info_Camas[[#This Row],[Cama]])</f>
        <v>06B096</v>
      </c>
      <c r="B1153" t="s">
        <v>739</v>
      </c>
      <c r="C1153" t="s">
        <v>39</v>
      </c>
      <c r="D1153" t="s">
        <v>21</v>
      </c>
      <c r="E1153" t="s">
        <v>99</v>
      </c>
      <c r="F1153" t="s">
        <v>258</v>
      </c>
      <c r="G1153">
        <v>51.573</v>
      </c>
      <c r="J1153" s="6" t="str">
        <f>IFERROR(Info_Camas[[#This Row],[Lineas]]/Info_Camas[[#This Row],[Cortinas]],"Pendiente")</f>
        <v>Pendiente</v>
      </c>
    </row>
  </sheetData>
  <sheetProtection sheet="1" objects="1" scenarios="1" autoFilter="0"/>
  <phoneticPr fontId="10" type="noConversion"/>
  <pageMargins left="0.70866141732283472" right="0.70866141732283472" top="0.74803149606299213" bottom="0.74803149606299213" header="0.31496062992125984" footer="0.31496062992125984"/>
  <pageSetup paperSize="9" scale="95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06E9C-F841-4772-BC8C-62763EBADF3E}">
  <sheetPr codeName="Hoja3"/>
  <dimension ref="A1:P916"/>
  <sheetViews>
    <sheetView showGridLines="0" workbookViewId="0">
      <selection activeCell="O14" sqref="O14"/>
    </sheetView>
  </sheetViews>
  <sheetFormatPr baseColWidth="10" defaultColWidth="0" defaultRowHeight="10.5" x14ac:dyDescent="0.25"/>
  <cols>
    <col min="1" max="2" width="12" customWidth="1"/>
    <col min="3" max="3" width="19.375" bestFit="1" customWidth="1"/>
    <col min="4" max="4" width="4.375" customWidth="1"/>
    <col min="5" max="6" width="12" customWidth="1"/>
    <col min="7" max="7" width="4.375" customWidth="1"/>
    <col min="8" max="9" width="12" customWidth="1"/>
    <col min="10" max="10" width="4.375" customWidth="1"/>
    <col min="11" max="15" width="12" customWidth="1"/>
    <col min="16" max="16" width="16.375" style="42" customWidth="1"/>
    <col min="17" max="16384" width="12" hidden="1"/>
  </cols>
  <sheetData>
    <row r="1" spans="1:15" ht="22.5" customHeight="1" x14ac:dyDescent="0.25"/>
    <row r="2" spans="1:15" ht="22.5" customHeight="1" x14ac:dyDescent="0.25">
      <c r="A2" t="s">
        <v>0</v>
      </c>
      <c r="B2" t="s">
        <v>1</v>
      </c>
      <c r="C2" t="s">
        <v>2</v>
      </c>
      <c r="E2" s="1" t="s">
        <v>3</v>
      </c>
      <c r="F2" s="1" t="s">
        <v>4</v>
      </c>
      <c r="H2" t="s">
        <v>5</v>
      </c>
      <c r="I2" t="s">
        <v>6</v>
      </c>
      <c r="K2" t="s">
        <v>7</v>
      </c>
      <c r="L2" t="s">
        <v>8</v>
      </c>
      <c r="M2" t="s">
        <v>9</v>
      </c>
      <c r="N2" t="s">
        <v>10</v>
      </c>
      <c r="O2" t="s">
        <v>737</v>
      </c>
    </row>
    <row r="3" spans="1:15" x14ac:dyDescent="0.25">
      <c r="A3" t="s">
        <v>11</v>
      </c>
      <c r="B3" t="s">
        <v>12</v>
      </c>
      <c r="C3" t="s">
        <v>13</v>
      </c>
      <c r="E3" s="2">
        <v>45839</v>
      </c>
      <c r="F3" s="3">
        <f t="shared" ref="F3:F66" si="0">_xlfn.CONCAT(YEAR(E3),TEXT(WEEKNUM(E3,1),"00"))*1</f>
        <v>202527</v>
      </c>
      <c r="H3" s="4">
        <v>45840</v>
      </c>
      <c r="I3" s="3">
        <f t="shared" ref="I3:I28" si="1">_xlfn.CONCAT(YEAR(H3),TEXT(WEEKNUM(H3,1),"00"))*1</f>
        <v>202527</v>
      </c>
      <c r="K3" s="5" t="s">
        <v>14</v>
      </c>
      <c r="L3" s="5" t="s">
        <v>15</v>
      </c>
      <c r="M3" s="5" t="s">
        <v>16</v>
      </c>
      <c r="N3" t="s">
        <v>17</v>
      </c>
      <c r="O3">
        <v>1</v>
      </c>
    </row>
    <row r="4" spans="1:15" x14ac:dyDescent="0.25">
      <c r="A4" t="s">
        <v>18</v>
      </c>
      <c r="B4" t="s">
        <v>12</v>
      </c>
      <c r="C4" t="s">
        <v>19</v>
      </c>
      <c r="E4" s="4">
        <v>45840</v>
      </c>
      <c r="F4" s="6">
        <f t="shared" si="0"/>
        <v>202527</v>
      </c>
      <c r="H4" s="4">
        <f>+H3+7</f>
        <v>45847</v>
      </c>
      <c r="I4" s="3">
        <f t="shared" si="1"/>
        <v>202528</v>
      </c>
      <c r="K4" s="5" t="s">
        <v>20</v>
      </c>
      <c r="L4" s="5" t="s">
        <v>21</v>
      </c>
      <c r="M4" s="5" t="s">
        <v>22</v>
      </c>
      <c r="N4" t="s">
        <v>23</v>
      </c>
      <c r="O4">
        <v>2</v>
      </c>
    </row>
    <row r="5" spans="1:15" x14ac:dyDescent="0.25">
      <c r="A5" t="s">
        <v>18</v>
      </c>
      <c r="B5" t="s">
        <v>24</v>
      </c>
      <c r="C5" t="s">
        <v>25</v>
      </c>
      <c r="E5" s="2">
        <v>45841</v>
      </c>
      <c r="F5" s="3">
        <f t="shared" si="0"/>
        <v>202527</v>
      </c>
      <c r="H5" s="4">
        <f t="shared" ref="H5:H68" si="2">+H4+7</f>
        <v>45854</v>
      </c>
      <c r="I5" s="3">
        <f t="shared" si="1"/>
        <v>202529</v>
      </c>
      <c r="K5" s="5" t="s">
        <v>26</v>
      </c>
      <c r="L5" s="5"/>
      <c r="M5" s="5" t="s">
        <v>27</v>
      </c>
      <c r="N5" t="s">
        <v>28</v>
      </c>
      <c r="O5">
        <v>3</v>
      </c>
    </row>
    <row r="6" spans="1:15" x14ac:dyDescent="0.25">
      <c r="A6" t="s">
        <v>18</v>
      </c>
      <c r="B6" t="s">
        <v>12</v>
      </c>
      <c r="C6" t="s">
        <v>29</v>
      </c>
      <c r="E6" s="4">
        <v>45842</v>
      </c>
      <c r="F6" s="6">
        <f t="shared" si="0"/>
        <v>202527</v>
      </c>
      <c r="H6" s="4">
        <f t="shared" si="2"/>
        <v>45861</v>
      </c>
      <c r="I6" s="3">
        <f t="shared" si="1"/>
        <v>202530</v>
      </c>
      <c r="K6" s="5" t="s">
        <v>30</v>
      </c>
      <c r="L6" s="5"/>
      <c r="M6" s="5" t="s">
        <v>31</v>
      </c>
      <c r="N6" t="s">
        <v>746</v>
      </c>
      <c r="O6">
        <v>4</v>
      </c>
    </row>
    <row r="7" spans="1:15" x14ac:dyDescent="0.25">
      <c r="A7" t="s">
        <v>18</v>
      </c>
      <c r="B7" t="s">
        <v>32</v>
      </c>
      <c r="C7" t="s">
        <v>33</v>
      </c>
      <c r="E7" s="2">
        <v>45843</v>
      </c>
      <c r="F7" s="3">
        <f t="shared" si="0"/>
        <v>202527</v>
      </c>
      <c r="H7" s="4">
        <f t="shared" si="2"/>
        <v>45868</v>
      </c>
      <c r="I7" s="3">
        <f t="shared" si="1"/>
        <v>202531</v>
      </c>
      <c r="K7" s="5" t="s">
        <v>34</v>
      </c>
      <c r="L7" s="5"/>
      <c r="M7" s="5" t="s">
        <v>35</v>
      </c>
      <c r="N7" t="s">
        <v>747</v>
      </c>
      <c r="O7">
        <v>5</v>
      </c>
    </row>
    <row r="8" spans="1:15" x14ac:dyDescent="0.25">
      <c r="A8" t="s">
        <v>36</v>
      </c>
      <c r="B8" t="s">
        <v>37</v>
      </c>
      <c r="C8" t="s">
        <v>38</v>
      </c>
      <c r="E8" s="4">
        <v>45844</v>
      </c>
      <c r="F8" s="6">
        <f t="shared" si="0"/>
        <v>202528</v>
      </c>
      <c r="H8" s="4">
        <f t="shared" si="2"/>
        <v>45875</v>
      </c>
      <c r="I8" s="3">
        <f t="shared" si="1"/>
        <v>202532</v>
      </c>
      <c r="K8" s="5" t="s">
        <v>39</v>
      </c>
      <c r="L8" s="5"/>
      <c r="M8" s="5" t="s">
        <v>40</v>
      </c>
      <c r="O8">
        <v>6</v>
      </c>
    </row>
    <row r="9" spans="1:15" x14ac:dyDescent="0.25">
      <c r="A9" t="s">
        <v>18</v>
      </c>
      <c r="B9" t="s">
        <v>12</v>
      </c>
      <c r="C9" t="s">
        <v>41</v>
      </c>
      <c r="E9" s="2">
        <v>45845</v>
      </c>
      <c r="F9" s="3">
        <f t="shared" si="0"/>
        <v>202528</v>
      </c>
      <c r="H9" s="4">
        <f t="shared" si="2"/>
        <v>45882</v>
      </c>
      <c r="I9" s="3">
        <f t="shared" si="1"/>
        <v>202533</v>
      </c>
      <c r="K9" s="5" t="s">
        <v>42</v>
      </c>
      <c r="L9" s="5"/>
      <c r="M9" s="5" t="s">
        <v>43</v>
      </c>
      <c r="O9">
        <v>7</v>
      </c>
    </row>
    <row r="10" spans="1:15" x14ac:dyDescent="0.25">
      <c r="A10" t="s">
        <v>11</v>
      </c>
      <c r="B10" t="s">
        <v>44</v>
      </c>
      <c r="C10" t="s">
        <v>45</v>
      </c>
      <c r="E10" s="4">
        <v>45846</v>
      </c>
      <c r="F10" s="6">
        <f t="shared" si="0"/>
        <v>202528</v>
      </c>
      <c r="H10" s="4">
        <f t="shared" si="2"/>
        <v>45889</v>
      </c>
      <c r="I10" s="3">
        <f t="shared" si="1"/>
        <v>202534</v>
      </c>
      <c r="K10" s="5" t="s">
        <v>46</v>
      </c>
      <c r="L10" s="5"/>
      <c r="M10" s="5" t="s">
        <v>48</v>
      </c>
      <c r="O10">
        <v>8</v>
      </c>
    </row>
    <row r="11" spans="1:15" x14ac:dyDescent="0.25">
      <c r="A11" t="s">
        <v>36</v>
      </c>
      <c r="B11" t="s">
        <v>49</v>
      </c>
      <c r="C11" t="s">
        <v>50</v>
      </c>
      <c r="E11" s="2">
        <v>45847</v>
      </c>
      <c r="F11" s="3">
        <f t="shared" si="0"/>
        <v>202528</v>
      </c>
      <c r="H11" s="4">
        <f t="shared" si="2"/>
        <v>45896</v>
      </c>
      <c r="I11" s="3">
        <f t="shared" si="1"/>
        <v>202535</v>
      </c>
      <c r="K11" s="5" t="s">
        <v>51</v>
      </c>
      <c r="L11" s="5"/>
      <c r="M11" s="5" t="s">
        <v>52</v>
      </c>
      <c r="O11">
        <v>9</v>
      </c>
    </row>
    <row r="12" spans="1:15" x14ac:dyDescent="0.25">
      <c r="A12" t="s">
        <v>36</v>
      </c>
      <c r="B12" t="s">
        <v>12</v>
      </c>
      <c r="C12" t="s">
        <v>53</v>
      </c>
      <c r="E12" s="4">
        <v>45848</v>
      </c>
      <c r="F12" s="6">
        <f t="shared" si="0"/>
        <v>202528</v>
      </c>
      <c r="H12" s="4">
        <f t="shared" si="2"/>
        <v>45903</v>
      </c>
      <c r="I12" s="3">
        <f t="shared" si="1"/>
        <v>202536</v>
      </c>
      <c r="K12" s="5" t="s">
        <v>54</v>
      </c>
      <c r="L12" s="5"/>
      <c r="M12" s="5" t="s">
        <v>55</v>
      </c>
      <c r="O12">
        <v>10</v>
      </c>
    </row>
    <row r="13" spans="1:15" x14ac:dyDescent="0.25">
      <c r="A13" t="s">
        <v>36</v>
      </c>
      <c r="B13" t="s">
        <v>44</v>
      </c>
      <c r="C13" t="s">
        <v>56</v>
      </c>
      <c r="E13" s="2">
        <v>45849</v>
      </c>
      <c r="F13" s="3">
        <f t="shared" si="0"/>
        <v>202528</v>
      </c>
      <c r="H13" s="4">
        <f t="shared" si="2"/>
        <v>45910</v>
      </c>
      <c r="I13" s="3">
        <f t="shared" si="1"/>
        <v>202537</v>
      </c>
      <c r="K13" s="5" t="s">
        <v>57</v>
      </c>
      <c r="L13" s="5"/>
      <c r="M13" s="5" t="s">
        <v>58</v>
      </c>
      <c r="O13">
        <v>11</v>
      </c>
    </row>
    <row r="14" spans="1:15" x14ac:dyDescent="0.25">
      <c r="A14" t="s">
        <v>18</v>
      </c>
      <c r="B14" t="s">
        <v>59</v>
      </c>
      <c r="C14" t="s">
        <v>60</v>
      </c>
      <c r="E14" s="4">
        <v>45850</v>
      </c>
      <c r="F14" s="6">
        <f t="shared" si="0"/>
        <v>202528</v>
      </c>
      <c r="H14" s="4">
        <f t="shared" si="2"/>
        <v>45917</v>
      </c>
      <c r="I14" s="3">
        <f t="shared" si="1"/>
        <v>202538</v>
      </c>
      <c r="K14" s="5" t="s">
        <v>61</v>
      </c>
      <c r="L14" s="5"/>
      <c r="M14" s="5" t="s">
        <v>62</v>
      </c>
    </row>
    <row r="15" spans="1:15" x14ac:dyDescent="0.25">
      <c r="A15" t="s">
        <v>18</v>
      </c>
      <c r="B15" t="s">
        <v>49</v>
      </c>
      <c r="C15" t="s">
        <v>63</v>
      </c>
      <c r="E15" s="2">
        <v>45851</v>
      </c>
      <c r="F15" s="3">
        <f t="shared" si="0"/>
        <v>202529</v>
      </c>
      <c r="H15" s="4">
        <f t="shared" si="2"/>
        <v>45924</v>
      </c>
      <c r="I15" s="3">
        <f t="shared" si="1"/>
        <v>202539</v>
      </c>
      <c r="K15" s="5" t="s">
        <v>64</v>
      </c>
      <c r="L15" s="5"/>
      <c r="M15" s="5" t="s">
        <v>65</v>
      </c>
    </row>
    <row r="16" spans="1:15" x14ac:dyDescent="0.25">
      <c r="A16" t="s">
        <v>36</v>
      </c>
      <c r="B16" t="s">
        <v>49</v>
      </c>
      <c r="C16" t="s">
        <v>66</v>
      </c>
      <c r="E16" s="4">
        <v>45852</v>
      </c>
      <c r="F16" s="6">
        <f t="shared" si="0"/>
        <v>202529</v>
      </c>
      <c r="H16" s="4">
        <f t="shared" si="2"/>
        <v>45931</v>
      </c>
      <c r="I16" s="3">
        <f t="shared" si="1"/>
        <v>202540</v>
      </c>
      <c r="K16" s="5" t="s">
        <v>67</v>
      </c>
      <c r="L16" s="5"/>
      <c r="M16" s="5" t="s">
        <v>68</v>
      </c>
    </row>
    <row r="17" spans="1:13" x14ac:dyDescent="0.25">
      <c r="A17" t="s">
        <v>11</v>
      </c>
      <c r="B17" t="s">
        <v>69</v>
      </c>
      <c r="C17" t="s">
        <v>70</v>
      </c>
      <c r="E17" s="2">
        <v>45853</v>
      </c>
      <c r="F17" s="3">
        <f t="shared" si="0"/>
        <v>202529</v>
      </c>
      <c r="H17" s="4">
        <f t="shared" si="2"/>
        <v>45938</v>
      </c>
      <c r="I17" s="3">
        <f t="shared" si="1"/>
        <v>202541</v>
      </c>
      <c r="K17" s="5" t="s">
        <v>71</v>
      </c>
      <c r="L17" s="5"/>
      <c r="M17" s="5" t="s">
        <v>72</v>
      </c>
    </row>
    <row r="18" spans="1:13" x14ac:dyDescent="0.25">
      <c r="A18" t="s">
        <v>11</v>
      </c>
      <c r="B18" t="s">
        <v>12</v>
      </c>
      <c r="C18" t="s">
        <v>73</v>
      </c>
      <c r="E18" s="4">
        <v>45854</v>
      </c>
      <c r="F18" s="6">
        <f t="shared" si="0"/>
        <v>202529</v>
      </c>
      <c r="H18" s="4">
        <f t="shared" si="2"/>
        <v>45945</v>
      </c>
      <c r="I18" s="3">
        <f t="shared" si="1"/>
        <v>202542</v>
      </c>
      <c r="K18" s="5" t="s">
        <v>74</v>
      </c>
      <c r="L18" s="5"/>
      <c r="M18" s="5" t="s">
        <v>75</v>
      </c>
    </row>
    <row r="19" spans="1:13" x14ac:dyDescent="0.25">
      <c r="A19" t="s">
        <v>11</v>
      </c>
      <c r="B19" t="s">
        <v>12</v>
      </c>
      <c r="C19" t="s">
        <v>76</v>
      </c>
      <c r="E19" s="2">
        <v>45855</v>
      </c>
      <c r="F19" s="3">
        <f t="shared" si="0"/>
        <v>202529</v>
      </c>
      <c r="H19" s="4">
        <f t="shared" si="2"/>
        <v>45952</v>
      </c>
      <c r="I19" s="3">
        <f t="shared" si="1"/>
        <v>202543</v>
      </c>
      <c r="K19" s="5" t="s">
        <v>77</v>
      </c>
      <c r="L19" s="5"/>
      <c r="M19" s="5" t="s">
        <v>78</v>
      </c>
    </row>
    <row r="20" spans="1:13" x14ac:dyDescent="0.25">
      <c r="A20" t="s">
        <v>11</v>
      </c>
      <c r="B20" t="s">
        <v>12</v>
      </c>
      <c r="C20" t="s">
        <v>79</v>
      </c>
      <c r="E20" s="4">
        <v>45856</v>
      </c>
      <c r="F20" s="6">
        <f t="shared" si="0"/>
        <v>202529</v>
      </c>
      <c r="H20" s="4">
        <f t="shared" si="2"/>
        <v>45959</v>
      </c>
      <c r="I20" s="3">
        <f t="shared" si="1"/>
        <v>202544</v>
      </c>
      <c r="K20" s="5" t="s">
        <v>80</v>
      </c>
      <c r="L20" s="5"/>
      <c r="M20" s="5" t="s">
        <v>81</v>
      </c>
    </row>
    <row r="21" spans="1:13" x14ac:dyDescent="0.25">
      <c r="A21" t="s">
        <v>11</v>
      </c>
      <c r="B21" t="s">
        <v>12</v>
      </c>
      <c r="C21" t="s">
        <v>82</v>
      </c>
      <c r="E21" s="2">
        <v>45857</v>
      </c>
      <c r="F21" s="3">
        <f t="shared" si="0"/>
        <v>202529</v>
      </c>
      <c r="H21" s="4">
        <f t="shared" si="2"/>
        <v>45966</v>
      </c>
      <c r="I21" s="3">
        <f t="shared" si="1"/>
        <v>202545</v>
      </c>
      <c r="K21" s="5" t="s">
        <v>83</v>
      </c>
      <c r="L21" s="5"/>
      <c r="M21" s="5" t="s">
        <v>84</v>
      </c>
    </row>
    <row r="22" spans="1:13" x14ac:dyDescent="0.25">
      <c r="A22" t="s">
        <v>11</v>
      </c>
      <c r="B22" t="s">
        <v>12</v>
      </c>
      <c r="C22" t="s">
        <v>85</v>
      </c>
      <c r="E22" s="4">
        <v>45858</v>
      </c>
      <c r="F22" s="6">
        <f t="shared" si="0"/>
        <v>202530</v>
      </c>
      <c r="H22" s="4">
        <f t="shared" si="2"/>
        <v>45973</v>
      </c>
      <c r="I22" s="3">
        <f t="shared" si="1"/>
        <v>202546</v>
      </c>
      <c r="K22" s="5" t="s">
        <v>86</v>
      </c>
      <c r="L22" s="5"/>
      <c r="M22" s="5" t="s">
        <v>87</v>
      </c>
    </row>
    <row r="23" spans="1:13" x14ac:dyDescent="0.25">
      <c r="A23" t="s">
        <v>11</v>
      </c>
      <c r="B23" t="s">
        <v>59</v>
      </c>
      <c r="C23" t="s">
        <v>88</v>
      </c>
      <c r="E23" s="2">
        <v>45859</v>
      </c>
      <c r="F23" s="3">
        <f t="shared" si="0"/>
        <v>202530</v>
      </c>
      <c r="H23" s="4">
        <f t="shared" si="2"/>
        <v>45980</v>
      </c>
      <c r="I23" s="3">
        <f t="shared" si="1"/>
        <v>202547</v>
      </c>
      <c r="K23" s="5" t="s">
        <v>89</v>
      </c>
      <c r="L23" s="5"/>
      <c r="M23" s="5" t="s">
        <v>90</v>
      </c>
    </row>
    <row r="24" spans="1:13" x14ac:dyDescent="0.25">
      <c r="A24" t="s">
        <v>11</v>
      </c>
      <c r="B24" t="s">
        <v>91</v>
      </c>
      <c r="C24" t="s">
        <v>92</v>
      </c>
      <c r="E24" s="4">
        <v>45860</v>
      </c>
      <c r="F24" s="6">
        <f t="shared" si="0"/>
        <v>202530</v>
      </c>
      <c r="H24" s="4">
        <f t="shared" si="2"/>
        <v>45987</v>
      </c>
      <c r="I24" s="3">
        <f t="shared" si="1"/>
        <v>202548</v>
      </c>
      <c r="K24" s="5" t="s">
        <v>93</v>
      </c>
      <c r="L24" s="5"/>
      <c r="M24" s="5" t="s">
        <v>94</v>
      </c>
    </row>
    <row r="25" spans="1:13" x14ac:dyDescent="0.25">
      <c r="A25" t="s">
        <v>11</v>
      </c>
      <c r="B25" t="s">
        <v>44</v>
      </c>
      <c r="C25" t="s">
        <v>95</v>
      </c>
      <c r="E25" s="2">
        <v>45861</v>
      </c>
      <c r="F25" s="3">
        <f t="shared" si="0"/>
        <v>202530</v>
      </c>
      <c r="H25" s="4">
        <f t="shared" si="2"/>
        <v>45994</v>
      </c>
      <c r="I25" s="3">
        <f t="shared" si="1"/>
        <v>202549</v>
      </c>
      <c r="K25" s="5" t="s">
        <v>96</v>
      </c>
      <c r="L25" s="5"/>
      <c r="M25" s="5" t="s">
        <v>97</v>
      </c>
    </row>
    <row r="26" spans="1:13" x14ac:dyDescent="0.25">
      <c r="A26" t="s">
        <v>11</v>
      </c>
      <c r="B26" t="s">
        <v>44</v>
      </c>
      <c r="C26" t="s">
        <v>98</v>
      </c>
      <c r="E26" s="4">
        <v>45862</v>
      </c>
      <c r="F26" s="6">
        <f t="shared" si="0"/>
        <v>202530</v>
      </c>
      <c r="H26" s="4">
        <f t="shared" si="2"/>
        <v>46001</v>
      </c>
      <c r="I26" s="3">
        <f t="shared" si="1"/>
        <v>202550</v>
      </c>
      <c r="K26" s="5" t="s">
        <v>99</v>
      </c>
      <c r="L26" s="5"/>
      <c r="M26" s="5" t="s">
        <v>100</v>
      </c>
    </row>
    <row r="27" spans="1:13" x14ac:dyDescent="0.25">
      <c r="A27" t="s">
        <v>11</v>
      </c>
      <c r="B27" t="s">
        <v>44</v>
      </c>
      <c r="C27" t="s">
        <v>101</v>
      </c>
      <c r="E27" s="2">
        <v>45863</v>
      </c>
      <c r="F27" s="3">
        <f t="shared" si="0"/>
        <v>202530</v>
      </c>
      <c r="H27" s="4">
        <f t="shared" si="2"/>
        <v>46008</v>
      </c>
      <c r="I27" s="3">
        <f t="shared" si="1"/>
        <v>202551</v>
      </c>
      <c r="K27" s="5" t="s">
        <v>102</v>
      </c>
      <c r="L27" s="5"/>
      <c r="M27" s="5" t="s">
        <v>103</v>
      </c>
    </row>
    <row r="28" spans="1:13" x14ac:dyDescent="0.25">
      <c r="A28" t="s">
        <v>11</v>
      </c>
      <c r="B28" t="s">
        <v>32</v>
      </c>
      <c r="C28" t="s">
        <v>104</v>
      </c>
      <c r="E28" s="4">
        <v>45864</v>
      </c>
      <c r="F28" s="6">
        <f t="shared" si="0"/>
        <v>202530</v>
      </c>
      <c r="H28" s="4">
        <f t="shared" si="2"/>
        <v>46015</v>
      </c>
      <c r="I28" s="3">
        <f t="shared" si="1"/>
        <v>202552</v>
      </c>
      <c r="K28" s="5" t="s">
        <v>105</v>
      </c>
      <c r="L28" s="5"/>
      <c r="M28" s="5" t="s">
        <v>106</v>
      </c>
    </row>
    <row r="29" spans="1:13" x14ac:dyDescent="0.25">
      <c r="A29" t="s">
        <v>11</v>
      </c>
      <c r="B29" t="s">
        <v>44</v>
      </c>
      <c r="C29" t="s">
        <v>107</v>
      </c>
      <c r="E29" s="2">
        <v>45865</v>
      </c>
      <c r="F29" s="3">
        <f t="shared" si="0"/>
        <v>202531</v>
      </c>
      <c r="H29" s="4">
        <f t="shared" si="2"/>
        <v>46022</v>
      </c>
      <c r="I29" s="7">
        <v>202601</v>
      </c>
      <c r="K29" s="5" t="s">
        <v>108</v>
      </c>
      <c r="L29" s="5"/>
      <c r="M29" s="5" t="s">
        <v>109</v>
      </c>
    </row>
    <row r="30" spans="1:13" x14ac:dyDescent="0.25">
      <c r="A30" t="s">
        <v>11</v>
      </c>
      <c r="B30" t="s">
        <v>44</v>
      </c>
      <c r="C30" t="s">
        <v>110</v>
      </c>
      <c r="E30" s="4">
        <v>45866</v>
      </c>
      <c r="F30" s="6">
        <f t="shared" si="0"/>
        <v>202531</v>
      </c>
      <c r="H30" s="4">
        <f t="shared" si="2"/>
        <v>46029</v>
      </c>
      <c r="I30" s="3">
        <f t="shared" ref="I30:I93" si="3">_xlfn.CONCAT(YEAR(H30),TEXT(WEEKNUM(H30,1),"00"))*1</f>
        <v>202602</v>
      </c>
      <c r="K30" s="5" t="s">
        <v>111</v>
      </c>
      <c r="L30" s="5"/>
      <c r="M30" s="5" t="s">
        <v>112</v>
      </c>
    </row>
    <row r="31" spans="1:13" x14ac:dyDescent="0.25">
      <c r="A31" t="s">
        <v>36</v>
      </c>
      <c r="B31" t="s">
        <v>12</v>
      </c>
      <c r="C31" t="s">
        <v>113</v>
      </c>
      <c r="E31" s="2">
        <v>45867</v>
      </c>
      <c r="F31" s="3">
        <f t="shared" si="0"/>
        <v>202531</v>
      </c>
      <c r="H31" s="4">
        <f t="shared" si="2"/>
        <v>46036</v>
      </c>
      <c r="I31" s="3">
        <f t="shared" si="3"/>
        <v>202603</v>
      </c>
      <c r="K31" s="5" t="s">
        <v>114</v>
      </c>
      <c r="L31" s="5"/>
      <c r="M31" s="5" t="s">
        <v>115</v>
      </c>
    </row>
    <row r="32" spans="1:13" x14ac:dyDescent="0.25">
      <c r="A32" t="s">
        <v>18</v>
      </c>
      <c r="B32" t="s">
        <v>32</v>
      </c>
      <c r="C32" t="s">
        <v>116</v>
      </c>
      <c r="E32" s="4">
        <v>45868</v>
      </c>
      <c r="F32" s="6">
        <f t="shared" si="0"/>
        <v>202531</v>
      </c>
      <c r="H32" s="4">
        <f t="shared" si="2"/>
        <v>46043</v>
      </c>
      <c r="I32" s="3">
        <f t="shared" si="3"/>
        <v>202604</v>
      </c>
      <c r="K32" s="5" t="s">
        <v>117</v>
      </c>
      <c r="L32" s="5"/>
      <c r="M32" s="5" t="s">
        <v>118</v>
      </c>
    </row>
    <row r="33" spans="1:13" x14ac:dyDescent="0.25">
      <c r="A33" t="s">
        <v>11</v>
      </c>
      <c r="B33" t="s">
        <v>119</v>
      </c>
      <c r="C33" t="s">
        <v>120</v>
      </c>
      <c r="E33" s="2">
        <v>45869</v>
      </c>
      <c r="F33" s="3">
        <f t="shared" si="0"/>
        <v>202531</v>
      </c>
      <c r="H33" s="4">
        <f t="shared" si="2"/>
        <v>46050</v>
      </c>
      <c r="I33" s="3">
        <f t="shared" si="3"/>
        <v>202605</v>
      </c>
      <c r="K33" t="s">
        <v>47</v>
      </c>
      <c r="L33" s="5"/>
      <c r="M33" s="5" t="s">
        <v>121</v>
      </c>
    </row>
    <row r="34" spans="1:13" x14ac:dyDescent="0.25">
      <c r="A34" t="s">
        <v>18</v>
      </c>
      <c r="B34" t="s">
        <v>44</v>
      </c>
      <c r="C34" t="s">
        <v>122</v>
      </c>
      <c r="E34" s="4">
        <v>45870</v>
      </c>
      <c r="F34" s="6">
        <f t="shared" si="0"/>
        <v>202531</v>
      </c>
      <c r="H34" s="4">
        <f t="shared" si="2"/>
        <v>46057</v>
      </c>
      <c r="I34" s="3">
        <f t="shared" si="3"/>
        <v>202606</v>
      </c>
      <c r="L34" s="5"/>
      <c r="M34" s="5" t="s">
        <v>124</v>
      </c>
    </row>
    <row r="35" spans="1:13" x14ac:dyDescent="0.25">
      <c r="A35" t="s">
        <v>18</v>
      </c>
      <c r="B35" t="s">
        <v>12</v>
      </c>
      <c r="C35" t="s">
        <v>125</v>
      </c>
      <c r="E35" s="2">
        <v>45871</v>
      </c>
      <c r="F35" s="3">
        <f t="shared" si="0"/>
        <v>202531</v>
      </c>
      <c r="H35" s="4">
        <f t="shared" si="2"/>
        <v>46064</v>
      </c>
      <c r="I35" s="3">
        <f t="shared" si="3"/>
        <v>202607</v>
      </c>
      <c r="L35" s="5"/>
      <c r="M35" s="5" t="s">
        <v>126</v>
      </c>
    </row>
    <row r="36" spans="1:13" x14ac:dyDescent="0.25">
      <c r="A36" t="s">
        <v>18</v>
      </c>
      <c r="B36" t="s">
        <v>119</v>
      </c>
      <c r="C36" t="s">
        <v>127</v>
      </c>
      <c r="E36" s="4">
        <v>45872</v>
      </c>
      <c r="F36" s="6">
        <f t="shared" si="0"/>
        <v>202532</v>
      </c>
      <c r="H36" s="4">
        <f t="shared" si="2"/>
        <v>46071</v>
      </c>
      <c r="I36" s="3">
        <f t="shared" si="3"/>
        <v>202608</v>
      </c>
      <c r="L36" s="5"/>
      <c r="M36" s="5" t="s">
        <v>128</v>
      </c>
    </row>
    <row r="37" spans="1:13" x14ac:dyDescent="0.25">
      <c r="A37" t="s">
        <v>11</v>
      </c>
      <c r="B37" t="s">
        <v>37</v>
      </c>
      <c r="C37" t="s">
        <v>129</v>
      </c>
      <c r="E37" s="2">
        <v>45873</v>
      </c>
      <c r="F37" s="3">
        <f t="shared" si="0"/>
        <v>202532</v>
      </c>
      <c r="H37" s="4">
        <f t="shared" si="2"/>
        <v>46078</v>
      </c>
      <c r="I37" s="3">
        <f t="shared" si="3"/>
        <v>202609</v>
      </c>
      <c r="L37" s="5"/>
      <c r="M37" s="5" t="s">
        <v>130</v>
      </c>
    </row>
    <row r="38" spans="1:13" x14ac:dyDescent="0.25">
      <c r="A38" t="s">
        <v>11</v>
      </c>
      <c r="B38" t="s">
        <v>91</v>
      </c>
      <c r="C38" t="s">
        <v>131</v>
      </c>
      <c r="E38" s="4">
        <v>45874</v>
      </c>
      <c r="F38" s="6">
        <f t="shared" si="0"/>
        <v>202532</v>
      </c>
      <c r="H38" s="4">
        <f t="shared" si="2"/>
        <v>46085</v>
      </c>
      <c r="I38" s="3">
        <f t="shared" si="3"/>
        <v>202610</v>
      </c>
      <c r="L38" s="5"/>
      <c r="M38" s="5" t="s">
        <v>132</v>
      </c>
    </row>
    <row r="39" spans="1:13" x14ac:dyDescent="0.25">
      <c r="A39" t="s">
        <v>11</v>
      </c>
      <c r="B39" t="s">
        <v>32</v>
      </c>
      <c r="C39" t="s">
        <v>133</v>
      </c>
      <c r="E39" s="2">
        <v>45875</v>
      </c>
      <c r="F39" s="3">
        <f t="shared" si="0"/>
        <v>202532</v>
      </c>
      <c r="H39" s="4">
        <f t="shared" si="2"/>
        <v>46092</v>
      </c>
      <c r="I39" s="3">
        <f t="shared" si="3"/>
        <v>202611</v>
      </c>
      <c r="L39" s="5"/>
      <c r="M39" s="5" t="s">
        <v>134</v>
      </c>
    </row>
    <row r="40" spans="1:13" x14ac:dyDescent="0.25">
      <c r="A40" t="s">
        <v>11</v>
      </c>
      <c r="B40" t="s">
        <v>135</v>
      </c>
      <c r="C40" t="s">
        <v>136</v>
      </c>
      <c r="E40" s="4">
        <v>45876</v>
      </c>
      <c r="F40" s="6">
        <f t="shared" si="0"/>
        <v>202532</v>
      </c>
      <c r="H40" s="4">
        <f t="shared" si="2"/>
        <v>46099</v>
      </c>
      <c r="I40" s="3">
        <f t="shared" si="3"/>
        <v>202612</v>
      </c>
      <c r="L40" s="5"/>
      <c r="M40" s="5" t="s">
        <v>137</v>
      </c>
    </row>
    <row r="41" spans="1:13" x14ac:dyDescent="0.25">
      <c r="A41" t="s">
        <v>11</v>
      </c>
      <c r="B41" t="s">
        <v>91</v>
      </c>
      <c r="C41" t="s">
        <v>138</v>
      </c>
      <c r="E41" s="2">
        <v>45877</v>
      </c>
      <c r="F41" s="3">
        <f t="shared" si="0"/>
        <v>202532</v>
      </c>
      <c r="H41" s="4">
        <f t="shared" si="2"/>
        <v>46106</v>
      </c>
      <c r="I41" s="3">
        <f t="shared" si="3"/>
        <v>202613</v>
      </c>
      <c r="L41" s="5"/>
      <c r="M41" s="5" t="s">
        <v>139</v>
      </c>
    </row>
    <row r="42" spans="1:13" x14ac:dyDescent="0.25">
      <c r="A42" t="s">
        <v>11</v>
      </c>
      <c r="B42" t="s">
        <v>44</v>
      </c>
      <c r="C42" t="s">
        <v>140</v>
      </c>
      <c r="E42" s="4">
        <v>45878</v>
      </c>
      <c r="F42" s="6">
        <f t="shared" si="0"/>
        <v>202532</v>
      </c>
      <c r="H42" s="4">
        <f t="shared" si="2"/>
        <v>46113</v>
      </c>
      <c r="I42" s="3">
        <f t="shared" si="3"/>
        <v>202614</v>
      </c>
      <c r="L42" s="5"/>
      <c r="M42" s="5" t="s">
        <v>141</v>
      </c>
    </row>
    <row r="43" spans="1:13" x14ac:dyDescent="0.25">
      <c r="A43" t="s">
        <v>11</v>
      </c>
      <c r="B43" t="s">
        <v>12</v>
      </c>
      <c r="C43" t="s">
        <v>142</v>
      </c>
      <c r="E43" s="2">
        <v>45879</v>
      </c>
      <c r="F43" s="3">
        <f t="shared" si="0"/>
        <v>202533</v>
      </c>
      <c r="H43" s="4">
        <f t="shared" si="2"/>
        <v>46120</v>
      </c>
      <c r="I43" s="3">
        <f t="shared" si="3"/>
        <v>202615</v>
      </c>
      <c r="L43" s="5"/>
      <c r="M43" s="5" t="s">
        <v>143</v>
      </c>
    </row>
    <row r="44" spans="1:13" x14ac:dyDescent="0.25">
      <c r="A44" t="s">
        <v>11</v>
      </c>
      <c r="B44" t="s">
        <v>12</v>
      </c>
      <c r="C44" t="s">
        <v>144</v>
      </c>
      <c r="E44" s="4">
        <v>45880</v>
      </c>
      <c r="F44" s="6">
        <f t="shared" si="0"/>
        <v>202533</v>
      </c>
      <c r="H44" s="4">
        <f t="shared" si="2"/>
        <v>46127</v>
      </c>
      <c r="I44" s="3">
        <f t="shared" si="3"/>
        <v>202616</v>
      </c>
      <c r="L44" s="5"/>
      <c r="M44" s="5" t="s">
        <v>145</v>
      </c>
    </row>
    <row r="45" spans="1:13" x14ac:dyDescent="0.25">
      <c r="A45" t="s">
        <v>11</v>
      </c>
      <c r="B45" t="s">
        <v>12</v>
      </c>
      <c r="C45" t="s">
        <v>146</v>
      </c>
      <c r="E45" s="2">
        <v>45881</v>
      </c>
      <c r="F45" s="3">
        <f t="shared" si="0"/>
        <v>202533</v>
      </c>
      <c r="H45" s="4">
        <f t="shared" si="2"/>
        <v>46134</v>
      </c>
      <c r="I45" s="3">
        <f t="shared" si="3"/>
        <v>202617</v>
      </c>
      <c r="L45" s="5"/>
      <c r="M45" s="5" t="s">
        <v>147</v>
      </c>
    </row>
    <row r="46" spans="1:13" x14ac:dyDescent="0.25">
      <c r="A46" t="s">
        <v>18</v>
      </c>
      <c r="B46" t="s">
        <v>44</v>
      </c>
      <c r="C46" t="s">
        <v>148</v>
      </c>
      <c r="E46" s="4">
        <v>45882</v>
      </c>
      <c r="F46" s="6">
        <f t="shared" si="0"/>
        <v>202533</v>
      </c>
      <c r="H46" s="4">
        <f t="shared" si="2"/>
        <v>46141</v>
      </c>
      <c r="I46" s="3">
        <f t="shared" si="3"/>
        <v>202618</v>
      </c>
      <c r="L46" s="5"/>
      <c r="M46" s="5" t="s">
        <v>149</v>
      </c>
    </row>
    <row r="47" spans="1:13" x14ac:dyDescent="0.25">
      <c r="A47" t="s">
        <v>36</v>
      </c>
      <c r="B47" t="s">
        <v>37</v>
      </c>
      <c r="C47" t="s">
        <v>150</v>
      </c>
      <c r="E47" s="2">
        <v>45883</v>
      </c>
      <c r="F47" s="3">
        <f t="shared" si="0"/>
        <v>202533</v>
      </c>
      <c r="H47" s="4">
        <f t="shared" si="2"/>
        <v>46148</v>
      </c>
      <c r="I47" s="3">
        <f t="shared" si="3"/>
        <v>202619</v>
      </c>
      <c r="L47" s="5"/>
      <c r="M47" s="5" t="s">
        <v>151</v>
      </c>
    </row>
    <row r="48" spans="1:13" x14ac:dyDescent="0.25">
      <c r="A48" t="s">
        <v>18</v>
      </c>
      <c r="B48" t="s">
        <v>37</v>
      </c>
      <c r="C48" t="s">
        <v>152</v>
      </c>
      <c r="E48" s="4">
        <v>45884</v>
      </c>
      <c r="F48" s="6">
        <f t="shared" si="0"/>
        <v>202533</v>
      </c>
      <c r="H48" s="4">
        <f t="shared" si="2"/>
        <v>46155</v>
      </c>
      <c r="I48" s="3">
        <f t="shared" si="3"/>
        <v>202620</v>
      </c>
      <c r="L48" s="5"/>
      <c r="M48" s="5" t="s">
        <v>153</v>
      </c>
    </row>
    <row r="49" spans="1:13" x14ac:dyDescent="0.25">
      <c r="A49" t="s">
        <v>36</v>
      </c>
      <c r="B49" t="s">
        <v>119</v>
      </c>
      <c r="C49" t="s">
        <v>154</v>
      </c>
      <c r="E49" s="2">
        <v>45885</v>
      </c>
      <c r="F49" s="3">
        <f t="shared" si="0"/>
        <v>202533</v>
      </c>
      <c r="H49" s="4">
        <f t="shared" si="2"/>
        <v>46162</v>
      </c>
      <c r="I49" s="3">
        <f t="shared" si="3"/>
        <v>202621</v>
      </c>
      <c r="L49" s="5"/>
      <c r="M49" s="5" t="s">
        <v>155</v>
      </c>
    </row>
    <row r="50" spans="1:13" x14ac:dyDescent="0.25">
      <c r="A50" t="s">
        <v>11</v>
      </c>
      <c r="B50" t="s">
        <v>156</v>
      </c>
      <c r="C50" t="s">
        <v>157</v>
      </c>
      <c r="E50" s="4">
        <v>45886</v>
      </c>
      <c r="F50" s="6">
        <f t="shared" si="0"/>
        <v>202534</v>
      </c>
      <c r="H50" s="4">
        <f t="shared" si="2"/>
        <v>46169</v>
      </c>
      <c r="I50" s="3">
        <f t="shared" si="3"/>
        <v>202622</v>
      </c>
      <c r="L50" s="5"/>
      <c r="M50" s="5" t="s">
        <v>158</v>
      </c>
    </row>
    <row r="51" spans="1:13" x14ac:dyDescent="0.25">
      <c r="A51" t="s">
        <v>11</v>
      </c>
      <c r="B51" t="s">
        <v>159</v>
      </c>
      <c r="C51" t="s">
        <v>160</v>
      </c>
      <c r="E51" s="2">
        <v>45887</v>
      </c>
      <c r="F51" s="3">
        <f t="shared" si="0"/>
        <v>202534</v>
      </c>
      <c r="H51" s="4">
        <f t="shared" si="2"/>
        <v>46176</v>
      </c>
      <c r="I51" s="3">
        <f t="shared" si="3"/>
        <v>202623</v>
      </c>
      <c r="L51" s="5"/>
      <c r="M51" s="5" t="s">
        <v>161</v>
      </c>
    </row>
    <row r="52" spans="1:13" x14ac:dyDescent="0.25">
      <c r="A52" t="s">
        <v>36</v>
      </c>
      <c r="B52" t="s">
        <v>49</v>
      </c>
      <c r="C52" t="s">
        <v>162</v>
      </c>
      <c r="E52" s="4">
        <v>45888</v>
      </c>
      <c r="F52" s="6">
        <f t="shared" si="0"/>
        <v>202534</v>
      </c>
      <c r="H52" s="4">
        <f t="shared" si="2"/>
        <v>46183</v>
      </c>
      <c r="I52" s="3">
        <f t="shared" si="3"/>
        <v>202624</v>
      </c>
      <c r="L52" s="5"/>
      <c r="M52" s="5" t="s">
        <v>163</v>
      </c>
    </row>
    <row r="53" spans="1:13" x14ac:dyDescent="0.25">
      <c r="A53" t="s">
        <v>36</v>
      </c>
      <c r="B53" t="s">
        <v>49</v>
      </c>
      <c r="C53" t="s">
        <v>164</v>
      </c>
      <c r="E53" s="2">
        <v>45889</v>
      </c>
      <c r="F53" s="3">
        <f t="shared" si="0"/>
        <v>202534</v>
      </c>
      <c r="H53" s="4">
        <f t="shared" si="2"/>
        <v>46190</v>
      </c>
      <c r="I53" s="3">
        <f t="shared" si="3"/>
        <v>202625</v>
      </c>
      <c r="L53" s="5"/>
      <c r="M53" s="5" t="s">
        <v>165</v>
      </c>
    </row>
    <row r="54" spans="1:13" x14ac:dyDescent="0.25">
      <c r="A54" t="s">
        <v>11</v>
      </c>
      <c r="B54" t="s">
        <v>12</v>
      </c>
      <c r="C54" t="s">
        <v>166</v>
      </c>
      <c r="E54" s="4">
        <v>45890</v>
      </c>
      <c r="F54" s="6">
        <f t="shared" si="0"/>
        <v>202534</v>
      </c>
      <c r="H54" s="4">
        <f t="shared" si="2"/>
        <v>46197</v>
      </c>
      <c r="I54" s="3">
        <f t="shared" si="3"/>
        <v>202626</v>
      </c>
      <c r="L54" s="5"/>
      <c r="M54" s="5" t="s">
        <v>167</v>
      </c>
    </row>
    <row r="55" spans="1:13" x14ac:dyDescent="0.25">
      <c r="A55" t="s">
        <v>36</v>
      </c>
      <c r="B55" t="s">
        <v>49</v>
      </c>
      <c r="C55" t="s">
        <v>168</v>
      </c>
      <c r="E55" s="2">
        <v>45891</v>
      </c>
      <c r="F55" s="3">
        <f t="shared" si="0"/>
        <v>202534</v>
      </c>
      <c r="H55" s="4">
        <f t="shared" si="2"/>
        <v>46204</v>
      </c>
      <c r="I55" s="3">
        <f t="shared" si="3"/>
        <v>202627</v>
      </c>
      <c r="L55" s="5"/>
      <c r="M55" s="5" t="s">
        <v>169</v>
      </c>
    </row>
    <row r="56" spans="1:13" x14ac:dyDescent="0.25">
      <c r="A56" t="s">
        <v>18</v>
      </c>
      <c r="B56" t="s">
        <v>37</v>
      </c>
      <c r="C56" t="s">
        <v>170</v>
      </c>
      <c r="E56" s="4">
        <v>45892</v>
      </c>
      <c r="F56" s="6">
        <f t="shared" si="0"/>
        <v>202534</v>
      </c>
      <c r="H56" s="4">
        <f t="shared" si="2"/>
        <v>46211</v>
      </c>
      <c r="I56" s="3">
        <f t="shared" si="3"/>
        <v>202628</v>
      </c>
      <c r="L56" s="5"/>
      <c r="M56" s="5" t="s">
        <v>171</v>
      </c>
    </row>
    <row r="57" spans="1:13" x14ac:dyDescent="0.25">
      <c r="A57" t="s">
        <v>11</v>
      </c>
      <c r="B57" t="s">
        <v>12</v>
      </c>
      <c r="C57" t="s">
        <v>172</v>
      </c>
      <c r="E57" s="2">
        <v>45893</v>
      </c>
      <c r="F57" s="3">
        <f t="shared" si="0"/>
        <v>202535</v>
      </c>
      <c r="H57" s="4">
        <f t="shared" si="2"/>
        <v>46218</v>
      </c>
      <c r="I57" s="3">
        <f t="shared" si="3"/>
        <v>202629</v>
      </c>
      <c r="L57" s="5"/>
      <c r="M57" s="5" t="s">
        <v>173</v>
      </c>
    </row>
    <row r="58" spans="1:13" x14ac:dyDescent="0.25">
      <c r="A58" t="s">
        <v>11</v>
      </c>
      <c r="B58" t="s">
        <v>37</v>
      </c>
      <c r="C58" t="s">
        <v>174</v>
      </c>
      <c r="E58" s="4">
        <v>45894</v>
      </c>
      <c r="F58" s="6">
        <f t="shared" si="0"/>
        <v>202535</v>
      </c>
      <c r="H58" s="4">
        <f t="shared" si="2"/>
        <v>46225</v>
      </c>
      <c r="I58" s="3">
        <f t="shared" si="3"/>
        <v>202630</v>
      </c>
      <c r="L58" s="5"/>
      <c r="M58" s="5" t="s">
        <v>175</v>
      </c>
    </row>
    <row r="59" spans="1:13" x14ac:dyDescent="0.25">
      <c r="A59" t="s">
        <v>36</v>
      </c>
      <c r="B59" t="s">
        <v>44</v>
      </c>
      <c r="C59" t="s">
        <v>176</v>
      </c>
      <c r="E59" s="2">
        <v>45895</v>
      </c>
      <c r="F59" s="3">
        <f t="shared" si="0"/>
        <v>202535</v>
      </c>
      <c r="H59" s="4">
        <f t="shared" si="2"/>
        <v>46232</v>
      </c>
      <c r="I59" s="3">
        <f t="shared" si="3"/>
        <v>202631</v>
      </c>
      <c r="L59" s="5"/>
      <c r="M59" s="5" t="s">
        <v>177</v>
      </c>
    </row>
    <row r="60" spans="1:13" x14ac:dyDescent="0.25">
      <c r="A60" t="s">
        <v>36</v>
      </c>
      <c r="B60" t="s">
        <v>37</v>
      </c>
      <c r="C60" t="s">
        <v>178</v>
      </c>
      <c r="E60" s="4">
        <v>45896</v>
      </c>
      <c r="F60" s="6">
        <f t="shared" si="0"/>
        <v>202535</v>
      </c>
      <c r="H60" s="4">
        <f t="shared" si="2"/>
        <v>46239</v>
      </c>
      <c r="I60" s="3">
        <f t="shared" si="3"/>
        <v>202632</v>
      </c>
      <c r="L60" s="5"/>
      <c r="M60" s="5" t="s">
        <v>179</v>
      </c>
    </row>
    <row r="61" spans="1:13" x14ac:dyDescent="0.25">
      <c r="A61" t="s">
        <v>11</v>
      </c>
      <c r="B61" t="s">
        <v>180</v>
      </c>
      <c r="C61" t="s">
        <v>181</v>
      </c>
      <c r="E61" s="2">
        <v>45897</v>
      </c>
      <c r="F61" s="3">
        <f t="shared" si="0"/>
        <v>202535</v>
      </c>
      <c r="H61" s="4">
        <f t="shared" si="2"/>
        <v>46246</v>
      </c>
      <c r="I61" s="3">
        <f t="shared" si="3"/>
        <v>202633</v>
      </c>
      <c r="L61" s="5"/>
      <c r="M61" s="5" t="s">
        <v>182</v>
      </c>
    </row>
    <row r="62" spans="1:13" x14ac:dyDescent="0.25">
      <c r="A62" t="s">
        <v>11</v>
      </c>
      <c r="B62" t="s">
        <v>91</v>
      </c>
      <c r="C62" t="s">
        <v>183</v>
      </c>
      <c r="E62" s="4">
        <v>45898</v>
      </c>
      <c r="F62" s="6">
        <f t="shared" si="0"/>
        <v>202535</v>
      </c>
      <c r="H62" s="4">
        <f t="shared" si="2"/>
        <v>46253</v>
      </c>
      <c r="I62" s="3">
        <f t="shared" si="3"/>
        <v>202634</v>
      </c>
      <c r="L62" s="5"/>
      <c r="M62" s="5" t="s">
        <v>184</v>
      </c>
    </row>
    <row r="63" spans="1:13" x14ac:dyDescent="0.25">
      <c r="A63" t="s">
        <v>11</v>
      </c>
      <c r="B63" t="s">
        <v>119</v>
      </c>
      <c r="C63" t="s">
        <v>185</v>
      </c>
      <c r="E63" s="2">
        <v>45899</v>
      </c>
      <c r="F63" s="3">
        <f t="shared" si="0"/>
        <v>202535</v>
      </c>
      <c r="H63" s="4">
        <f t="shared" si="2"/>
        <v>46260</v>
      </c>
      <c r="I63" s="3">
        <f t="shared" si="3"/>
        <v>202635</v>
      </c>
      <c r="M63" s="5" t="s">
        <v>186</v>
      </c>
    </row>
    <row r="64" spans="1:13" x14ac:dyDescent="0.25">
      <c r="A64" t="s">
        <v>11</v>
      </c>
      <c r="B64" t="s">
        <v>59</v>
      </c>
      <c r="C64" t="s">
        <v>187</v>
      </c>
      <c r="E64" s="4">
        <v>45900</v>
      </c>
      <c r="F64" s="6">
        <f t="shared" si="0"/>
        <v>202536</v>
      </c>
      <c r="H64" s="4">
        <f t="shared" si="2"/>
        <v>46267</v>
      </c>
      <c r="I64" s="3">
        <f t="shared" si="3"/>
        <v>202636</v>
      </c>
      <c r="M64" s="5" t="s">
        <v>188</v>
      </c>
    </row>
    <row r="65" spans="1:13" x14ac:dyDescent="0.25">
      <c r="A65" t="s">
        <v>11</v>
      </c>
      <c r="B65" t="s">
        <v>119</v>
      </c>
      <c r="C65" t="s">
        <v>189</v>
      </c>
      <c r="E65" s="2">
        <v>45901</v>
      </c>
      <c r="F65" s="3">
        <f t="shared" si="0"/>
        <v>202536</v>
      </c>
      <c r="H65" s="4">
        <f t="shared" si="2"/>
        <v>46274</v>
      </c>
      <c r="I65" s="3">
        <f t="shared" si="3"/>
        <v>202637</v>
      </c>
      <c r="M65" s="5" t="s">
        <v>190</v>
      </c>
    </row>
    <row r="66" spans="1:13" x14ac:dyDescent="0.25">
      <c r="A66" t="s">
        <v>11</v>
      </c>
      <c r="B66" t="s">
        <v>12</v>
      </c>
      <c r="C66" t="s">
        <v>191</v>
      </c>
      <c r="E66" s="4">
        <v>45902</v>
      </c>
      <c r="F66" s="6">
        <f t="shared" si="0"/>
        <v>202536</v>
      </c>
      <c r="H66" s="4">
        <f t="shared" si="2"/>
        <v>46281</v>
      </c>
      <c r="I66" s="3">
        <f t="shared" si="3"/>
        <v>202638</v>
      </c>
      <c r="M66" s="5" t="s">
        <v>192</v>
      </c>
    </row>
    <row r="67" spans="1:13" x14ac:dyDescent="0.25">
      <c r="A67" t="s">
        <v>18</v>
      </c>
      <c r="B67" t="s">
        <v>119</v>
      </c>
      <c r="C67" t="s">
        <v>193</v>
      </c>
      <c r="E67" s="2">
        <v>45903</v>
      </c>
      <c r="F67" s="3">
        <f t="shared" ref="F67:F130" si="4">_xlfn.CONCAT(YEAR(E67),TEXT(WEEKNUM(E67,1),"00"))*1</f>
        <v>202536</v>
      </c>
      <c r="H67" s="4">
        <f t="shared" si="2"/>
        <v>46288</v>
      </c>
      <c r="I67" s="3">
        <f t="shared" si="3"/>
        <v>202639</v>
      </c>
      <c r="M67" s="5" t="s">
        <v>194</v>
      </c>
    </row>
    <row r="68" spans="1:13" x14ac:dyDescent="0.25">
      <c r="A68" t="s">
        <v>11</v>
      </c>
      <c r="B68" t="s">
        <v>37</v>
      </c>
      <c r="C68" t="s">
        <v>195</v>
      </c>
      <c r="E68" s="4">
        <v>45904</v>
      </c>
      <c r="F68" s="6">
        <f t="shared" si="4"/>
        <v>202536</v>
      </c>
      <c r="H68" s="4">
        <f t="shared" si="2"/>
        <v>46295</v>
      </c>
      <c r="I68" s="3">
        <f t="shared" si="3"/>
        <v>202640</v>
      </c>
      <c r="M68" s="5" t="s">
        <v>196</v>
      </c>
    </row>
    <row r="69" spans="1:13" x14ac:dyDescent="0.25">
      <c r="A69" t="s">
        <v>11</v>
      </c>
      <c r="B69" t="s">
        <v>37</v>
      </c>
      <c r="C69" t="s">
        <v>197</v>
      </c>
      <c r="E69" s="2">
        <v>45905</v>
      </c>
      <c r="F69" s="3">
        <f t="shared" si="4"/>
        <v>202536</v>
      </c>
      <c r="H69" s="4">
        <f t="shared" ref="H69:H132" si="5">+H68+7</f>
        <v>46302</v>
      </c>
      <c r="I69" s="3">
        <f t="shared" si="3"/>
        <v>202641</v>
      </c>
      <c r="M69" s="5" t="s">
        <v>198</v>
      </c>
    </row>
    <row r="70" spans="1:13" x14ac:dyDescent="0.25">
      <c r="A70" t="s">
        <v>36</v>
      </c>
      <c r="B70" t="s">
        <v>37</v>
      </c>
      <c r="C70" t="s">
        <v>199</v>
      </c>
      <c r="E70" s="4">
        <v>45906</v>
      </c>
      <c r="F70" s="6">
        <f t="shared" si="4"/>
        <v>202536</v>
      </c>
      <c r="H70" s="4">
        <f t="shared" si="5"/>
        <v>46309</v>
      </c>
      <c r="I70" s="3">
        <f t="shared" si="3"/>
        <v>202642</v>
      </c>
      <c r="M70" s="5" t="s">
        <v>200</v>
      </c>
    </row>
    <row r="71" spans="1:13" x14ac:dyDescent="0.25">
      <c r="A71" t="s">
        <v>11</v>
      </c>
      <c r="B71" t="s">
        <v>32</v>
      </c>
      <c r="C71" t="s">
        <v>201</v>
      </c>
      <c r="E71" s="2">
        <v>45907</v>
      </c>
      <c r="F71" s="3">
        <f t="shared" si="4"/>
        <v>202537</v>
      </c>
      <c r="H71" s="4">
        <f t="shared" si="5"/>
        <v>46316</v>
      </c>
      <c r="I71" s="3">
        <f t="shared" si="3"/>
        <v>202643</v>
      </c>
      <c r="M71" s="5" t="s">
        <v>202</v>
      </c>
    </row>
    <row r="72" spans="1:13" x14ac:dyDescent="0.25">
      <c r="A72" t="s">
        <v>11</v>
      </c>
      <c r="B72" t="s">
        <v>69</v>
      </c>
      <c r="C72" t="s">
        <v>203</v>
      </c>
      <c r="E72" s="4">
        <v>45908</v>
      </c>
      <c r="F72" s="6">
        <f t="shared" si="4"/>
        <v>202537</v>
      </c>
      <c r="H72" s="4">
        <f t="shared" si="5"/>
        <v>46323</v>
      </c>
      <c r="I72" s="3">
        <f t="shared" si="3"/>
        <v>202644</v>
      </c>
      <c r="M72" s="5" t="s">
        <v>204</v>
      </c>
    </row>
    <row r="73" spans="1:13" x14ac:dyDescent="0.25">
      <c r="A73" t="s">
        <v>11</v>
      </c>
      <c r="B73" t="s">
        <v>12</v>
      </c>
      <c r="C73" t="s">
        <v>205</v>
      </c>
      <c r="E73" s="2">
        <v>45909</v>
      </c>
      <c r="F73" s="3">
        <f t="shared" si="4"/>
        <v>202537</v>
      </c>
      <c r="H73" s="4">
        <f t="shared" si="5"/>
        <v>46330</v>
      </c>
      <c r="I73" s="3">
        <f t="shared" si="3"/>
        <v>202645</v>
      </c>
      <c r="M73" s="5" t="s">
        <v>206</v>
      </c>
    </row>
    <row r="74" spans="1:13" x14ac:dyDescent="0.25">
      <c r="A74" t="s">
        <v>36</v>
      </c>
      <c r="B74" t="s">
        <v>119</v>
      </c>
      <c r="C74" t="s">
        <v>207</v>
      </c>
      <c r="E74" s="4">
        <v>45910</v>
      </c>
      <c r="F74" s="6">
        <f t="shared" si="4"/>
        <v>202537</v>
      </c>
      <c r="H74" s="4">
        <f t="shared" si="5"/>
        <v>46337</v>
      </c>
      <c r="I74" s="3">
        <f t="shared" si="3"/>
        <v>202646</v>
      </c>
      <c r="M74" s="5" t="s">
        <v>208</v>
      </c>
    </row>
    <row r="75" spans="1:13" x14ac:dyDescent="0.25">
      <c r="A75" t="s">
        <v>18</v>
      </c>
      <c r="B75" t="s">
        <v>12</v>
      </c>
      <c r="C75" t="s">
        <v>209</v>
      </c>
      <c r="E75" s="2">
        <v>45911</v>
      </c>
      <c r="F75" s="3">
        <f t="shared" si="4"/>
        <v>202537</v>
      </c>
      <c r="H75" s="4">
        <f t="shared" si="5"/>
        <v>46344</v>
      </c>
      <c r="I75" s="3">
        <f t="shared" si="3"/>
        <v>202647</v>
      </c>
      <c r="M75" s="5" t="s">
        <v>210</v>
      </c>
    </row>
    <row r="76" spans="1:13" x14ac:dyDescent="0.25">
      <c r="A76" t="s">
        <v>18</v>
      </c>
      <c r="B76" t="s">
        <v>37</v>
      </c>
      <c r="C76" t="s">
        <v>211</v>
      </c>
      <c r="E76" s="4">
        <v>45912</v>
      </c>
      <c r="F76" s="6">
        <f t="shared" si="4"/>
        <v>202537</v>
      </c>
      <c r="H76" s="4">
        <f t="shared" si="5"/>
        <v>46351</v>
      </c>
      <c r="I76" s="3">
        <f t="shared" si="3"/>
        <v>202648</v>
      </c>
      <c r="M76" s="5" t="s">
        <v>212</v>
      </c>
    </row>
    <row r="77" spans="1:13" x14ac:dyDescent="0.25">
      <c r="A77" t="s">
        <v>36</v>
      </c>
      <c r="B77" t="s">
        <v>37</v>
      </c>
      <c r="C77" t="s">
        <v>213</v>
      </c>
      <c r="E77" s="2">
        <v>45913</v>
      </c>
      <c r="F77" s="3">
        <f t="shared" si="4"/>
        <v>202537</v>
      </c>
      <c r="H77" s="4">
        <f t="shared" si="5"/>
        <v>46358</v>
      </c>
      <c r="I77" s="3">
        <f t="shared" si="3"/>
        <v>202649</v>
      </c>
      <c r="M77" s="5" t="s">
        <v>214</v>
      </c>
    </row>
    <row r="78" spans="1:13" x14ac:dyDescent="0.25">
      <c r="A78" t="s">
        <v>36</v>
      </c>
      <c r="B78" t="s">
        <v>44</v>
      </c>
      <c r="C78" t="s">
        <v>215</v>
      </c>
      <c r="E78" s="4">
        <v>45914</v>
      </c>
      <c r="F78" s="6">
        <f t="shared" si="4"/>
        <v>202538</v>
      </c>
      <c r="H78" s="4">
        <f t="shared" si="5"/>
        <v>46365</v>
      </c>
      <c r="I78" s="3">
        <f t="shared" si="3"/>
        <v>202650</v>
      </c>
      <c r="M78" s="5" t="s">
        <v>216</v>
      </c>
    </row>
    <row r="79" spans="1:13" x14ac:dyDescent="0.25">
      <c r="A79" t="s">
        <v>36</v>
      </c>
      <c r="B79" t="s">
        <v>49</v>
      </c>
      <c r="C79" t="s">
        <v>217</v>
      </c>
      <c r="E79" s="2">
        <v>45915</v>
      </c>
      <c r="F79" s="3">
        <f t="shared" si="4"/>
        <v>202538</v>
      </c>
      <c r="H79" s="4">
        <f t="shared" si="5"/>
        <v>46372</v>
      </c>
      <c r="I79" s="3">
        <f t="shared" si="3"/>
        <v>202651</v>
      </c>
      <c r="M79" s="5" t="s">
        <v>218</v>
      </c>
    </row>
    <row r="80" spans="1:13" x14ac:dyDescent="0.25">
      <c r="A80" t="s">
        <v>11</v>
      </c>
      <c r="B80" t="s">
        <v>12</v>
      </c>
      <c r="C80" t="s">
        <v>219</v>
      </c>
      <c r="E80" s="4">
        <v>45916</v>
      </c>
      <c r="F80" s="6">
        <f t="shared" si="4"/>
        <v>202538</v>
      </c>
      <c r="H80" s="4">
        <f t="shared" si="5"/>
        <v>46379</v>
      </c>
      <c r="I80" s="3">
        <f t="shared" si="3"/>
        <v>202652</v>
      </c>
      <c r="M80" s="5" t="s">
        <v>220</v>
      </c>
    </row>
    <row r="81" spans="1:13" x14ac:dyDescent="0.25">
      <c r="A81" t="s">
        <v>11</v>
      </c>
      <c r="B81" t="s">
        <v>37</v>
      </c>
      <c r="C81" t="s">
        <v>221</v>
      </c>
      <c r="E81" s="2">
        <v>45917</v>
      </c>
      <c r="F81" s="3">
        <f t="shared" si="4"/>
        <v>202538</v>
      </c>
      <c r="H81" s="4">
        <f t="shared" si="5"/>
        <v>46386</v>
      </c>
      <c r="I81" s="3">
        <f t="shared" si="3"/>
        <v>202653</v>
      </c>
      <c r="M81" s="5" t="s">
        <v>222</v>
      </c>
    </row>
    <row r="82" spans="1:13" x14ac:dyDescent="0.25">
      <c r="A82" t="s">
        <v>11</v>
      </c>
      <c r="B82" t="s">
        <v>32</v>
      </c>
      <c r="C82" t="s">
        <v>223</v>
      </c>
      <c r="E82" s="4">
        <v>45918</v>
      </c>
      <c r="F82" s="6">
        <f t="shared" si="4"/>
        <v>202538</v>
      </c>
      <c r="H82" s="4">
        <f t="shared" si="5"/>
        <v>46393</v>
      </c>
      <c r="I82" s="3">
        <f t="shared" si="3"/>
        <v>202702</v>
      </c>
      <c r="M82" s="5" t="s">
        <v>224</v>
      </c>
    </row>
    <row r="83" spans="1:13" x14ac:dyDescent="0.25">
      <c r="A83" t="s">
        <v>11</v>
      </c>
      <c r="B83" t="s">
        <v>37</v>
      </c>
      <c r="C83" t="s">
        <v>225</v>
      </c>
      <c r="E83" s="2">
        <v>45919</v>
      </c>
      <c r="F83" s="3">
        <f t="shared" si="4"/>
        <v>202538</v>
      </c>
      <c r="H83" s="4">
        <f t="shared" si="5"/>
        <v>46400</v>
      </c>
      <c r="I83" s="3">
        <f t="shared" si="3"/>
        <v>202703</v>
      </c>
      <c r="M83" s="5" t="s">
        <v>226</v>
      </c>
    </row>
    <row r="84" spans="1:13" x14ac:dyDescent="0.25">
      <c r="A84" t="s">
        <v>11</v>
      </c>
      <c r="B84" t="s">
        <v>227</v>
      </c>
      <c r="C84" t="s">
        <v>228</v>
      </c>
      <c r="E84" s="4">
        <v>45920</v>
      </c>
      <c r="F84" s="6">
        <f t="shared" si="4"/>
        <v>202538</v>
      </c>
      <c r="H84" s="4">
        <f t="shared" si="5"/>
        <v>46407</v>
      </c>
      <c r="I84" s="3">
        <f t="shared" si="3"/>
        <v>202704</v>
      </c>
      <c r="M84" s="5" t="s">
        <v>229</v>
      </c>
    </row>
    <row r="85" spans="1:13" x14ac:dyDescent="0.25">
      <c r="A85" t="s">
        <v>11</v>
      </c>
      <c r="B85" t="s">
        <v>44</v>
      </c>
      <c r="C85" t="s">
        <v>230</v>
      </c>
      <c r="E85" s="2">
        <v>45921</v>
      </c>
      <c r="F85" s="3">
        <f t="shared" si="4"/>
        <v>202539</v>
      </c>
      <c r="H85" s="4">
        <f t="shared" si="5"/>
        <v>46414</v>
      </c>
      <c r="I85" s="3">
        <f t="shared" si="3"/>
        <v>202705</v>
      </c>
      <c r="M85" s="5" t="s">
        <v>231</v>
      </c>
    </row>
    <row r="86" spans="1:13" x14ac:dyDescent="0.25">
      <c r="A86" t="s">
        <v>18</v>
      </c>
      <c r="B86" t="s">
        <v>37</v>
      </c>
      <c r="C86" t="s">
        <v>232</v>
      </c>
      <c r="E86" s="4">
        <v>45922</v>
      </c>
      <c r="F86" s="6">
        <f t="shared" si="4"/>
        <v>202539</v>
      </c>
      <c r="H86" s="4">
        <f t="shared" si="5"/>
        <v>46421</v>
      </c>
      <c r="I86" s="3">
        <f t="shared" si="3"/>
        <v>202706</v>
      </c>
      <c r="M86" s="5" t="s">
        <v>233</v>
      </c>
    </row>
    <row r="87" spans="1:13" x14ac:dyDescent="0.25">
      <c r="A87" t="s">
        <v>11</v>
      </c>
      <c r="B87" t="s">
        <v>69</v>
      </c>
      <c r="C87" t="s">
        <v>234</v>
      </c>
      <c r="E87" s="2">
        <v>45923</v>
      </c>
      <c r="F87" s="3">
        <f t="shared" si="4"/>
        <v>202539</v>
      </c>
      <c r="H87" s="4">
        <f t="shared" si="5"/>
        <v>46428</v>
      </c>
      <c r="I87" s="3">
        <f t="shared" si="3"/>
        <v>202707</v>
      </c>
      <c r="M87" s="5" t="s">
        <v>235</v>
      </c>
    </row>
    <row r="88" spans="1:13" x14ac:dyDescent="0.25">
      <c r="A88" t="s">
        <v>18</v>
      </c>
      <c r="B88" t="s">
        <v>236</v>
      </c>
      <c r="C88" t="s">
        <v>237</v>
      </c>
      <c r="E88" s="4">
        <v>45924</v>
      </c>
      <c r="F88" s="6">
        <f t="shared" si="4"/>
        <v>202539</v>
      </c>
      <c r="H88" s="4">
        <f t="shared" si="5"/>
        <v>46435</v>
      </c>
      <c r="I88" s="3">
        <f t="shared" si="3"/>
        <v>202708</v>
      </c>
      <c r="M88" s="5" t="s">
        <v>238</v>
      </c>
    </row>
    <row r="89" spans="1:13" x14ac:dyDescent="0.25">
      <c r="A89" t="s">
        <v>11</v>
      </c>
      <c r="B89" t="s">
        <v>12</v>
      </c>
      <c r="C89" t="s">
        <v>239</v>
      </c>
      <c r="E89" s="2">
        <v>45925</v>
      </c>
      <c r="F89" s="3">
        <f t="shared" si="4"/>
        <v>202539</v>
      </c>
      <c r="H89" s="4">
        <f t="shared" si="5"/>
        <v>46442</v>
      </c>
      <c r="I89" s="3">
        <f t="shared" si="3"/>
        <v>202709</v>
      </c>
      <c r="M89" s="5" t="s">
        <v>240</v>
      </c>
    </row>
    <row r="90" spans="1:13" x14ac:dyDescent="0.25">
      <c r="A90" t="s">
        <v>11</v>
      </c>
      <c r="B90" t="s">
        <v>119</v>
      </c>
      <c r="C90" t="s">
        <v>241</v>
      </c>
      <c r="E90" s="4">
        <v>45926</v>
      </c>
      <c r="F90" s="6">
        <f t="shared" si="4"/>
        <v>202539</v>
      </c>
      <c r="H90" s="4">
        <f t="shared" si="5"/>
        <v>46449</v>
      </c>
      <c r="I90" s="3">
        <f t="shared" si="3"/>
        <v>202710</v>
      </c>
      <c r="M90" s="5" t="s">
        <v>242</v>
      </c>
    </row>
    <row r="91" spans="1:13" x14ac:dyDescent="0.25">
      <c r="A91" t="s">
        <v>18</v>
      </c>
      <c r="B91" t="s">
        <v>69</v>
      </c>
      <c r="C91" t="s">
        <v>243</v>
      </c>
      <c r="E91" s="2">
        <v>45927</v>
      </c>
      <c r="F91" s="3">
        <f t="shared" si="4"/>
        <v>202539</v>
      </c>
      <c r="H91" s="4">
        <f t="shared" si="5"/>
        <v>46456</v>
      </c>
      <c r="I91" s="3">
        <f t="shared" si="3"/>
        <v>202711</v>
      </c>
      <c r="M91" s="5" t="s">
        <v>244</v>
      </c>
    </row>
    <row r="92" spans="1:13" x14ac:dyDescent="0.25">
      <c r="A92" t="s">
        <v>18</v>
      </c>
      <c r="B92" t="s">
        <v>44</v>
      </c>
      <c r="C92" t="s">
        <v>245</v>
      </c>
      <c r="E92" s="4">
        <v>45928</v>
      </c>
      <c r="F92" s="6">
        <f t="shared" si="4"/>
        <v>202540</v>
      </c>
      <c r="H92" s="4">
        <f t="shared" si="5"/>
        <v>46463</v>
      </c>
      <c r="I92" s="3">
        <f t="shared" si="3"/>
        <v>202712</v>
      </c>
      <c r="M92" s="5" t="s">
        <v>246</v>
      </c>
    </row>
    <row r="93" spans="1:13" x14ac:dyDescent="0.25">
      <c r="A93" t="s">
        <v>18</v>
      </c>
      <c r="B93" t="s">
        <v>44</v>
      </c>
      <c r="C93" t="s">
        <v>247</v>
      </c>
      <c r="E93" s="2">
        <v>45929</v>
      </c>
      <c r="F93" s="3">
        <f t="shared" si="4"/>
        <v>202540</v>
      </c>
      <c r="H93" s="4">
        <f t="shared" si="5"/>
        <v>46470</v>
      </c>
      <c r="I93" s="3">
        <f t="shared" si="3"/>
        <v>202713</v>
      </c>
      <c r="M93" s="5" t="s">
        <v>248</v>
      </c>
    </row>
    <row r="94" spans="1:13" x14ac:dyDescent="0.25">
      <c r="A94" t="s">
        <v>18</v>
      </c>
      <c r="B94" t="s">
        <v>12</v>
      </c>
      <c r="C94" t="s">
        <v>249</v>
      </c>
      <c r="E94" s="4">
        <v>45930</v>
      </c>
      <c r="F94" s="6">
        <f t="shared" si="4"/>
        <v>202540</v>
      </c>
      <c r="H94" s="4">
        <f t="shared" si="5"/>
        <v>46477</v>
      </c>
      <c r="I94" s="3">
        <f t="shared" ref="I94:I142" si="6">_xlfn.CONCAT(YEAR(H94),TEXT(WEEKNUM(H94,1),"00"))*1</f>
        <v>202714</v>
      </c>
      <c r="M94" s="5" t="s">
        <v>250</v>
      </c>
    </row>
    <row r="95" spans="1:13" x14ac:dyDescent="0.25">
      <c r="A95" t="s">
        <v>11</v>
      </c>
      <c r="B95" t="s">
        <v>59</v>
      </c>
      <c r="C95" t="s">
        <v>251</v>
      </c>
      <c r="E95" s="2">
        <v>45931</v>
      </c>
      <c r="F95" s="3">
        <f t="shared" si="4"/>
        <v>202540</v>
      </c>
      <c r="H95" s="4">
        <f t="shared" si="5"/>
        <v>46484</v>
      </c>
      <c r="I95" s="3">
        <f t="shared" si="6"/>
        <v>202715</v>
      </c>
      <c r="M95" s="5" t="s">
        <v>252</v>
      </c>
    </row>
    <row r="96" spans="1:13" x14ac:dyDescent="0.25">
      <c r="A96" t="s">
        <v>36</v>
      </c>
      <c r="B96" t="s">
        <v>32</v>
      </c>
      <c r="C96" t="s">
        <v>253</v>
      </c>
      <c r="E96" s="4">
        <v>45932</v>
      </c>
      <c r="F96" s="6">
        <f t="shared" si="4"/>
        <v>202540</v>
      </c>
      <c r="H96" s="4">
        <f t="shared" si="5"/>
        <v>46491</v>
      </c>
      <c r="I96" s="3">
        <f t="shared" si="6"/>
        <v>202716</v>
      </c>
      <c r="M96" s="5" t="s">
        <v>254</v>
      </c>
    </row>
    <row r="97" spans="1:13" x14ac:dyDescent="0.25">
      <c r="A97" t="s">
        <v>11</v>
      </c>
      <c r="B97" t="s">
        <v>37</v>
      </c>
      <c r="C97" t="s">
        <v>255</v>
      </c>
      <c r="E97" s="2">
        <v>45933</v>
      </c>
      <c r="F97" s="3">
        <f t="shared" si="4"/>
        <v>202540</v>
      </c>
      <c r="H97" s="4">
        <f t="shared" si="5"/>
        <v>46498</v>
      </c>
      <c r="I97" s="3">
        <f t="shared" si="6"/>
        <v>202717</v>
      </c>
      <c r="M97" s="5" t="s">
        <v>256</v>
      </c>
    </row>
    <row r="98" spans="1:13" x14ac:dyDescent="0.25">
      <c r="A98" t="s">
        <v>18</v>
      </c>
      <c r="B98" t="s">
        <v>44</v>
      </c>
      <c r="C98" t="s">
        <v>257</v>
      </c>
      <c r="E98" s="4">
        <v>45934</v>
      </c>
      <c r="F98" s="6">
        <f t="shared" si="4"/>
        <v>202540</v>
      </c>
      <c r="H98" s="4">
        <f t="shared" si="5"/>
        <v>46505</v>
      </c>
      <c r="I98" s="3">
        <f t="shared" si="6"/>
        <v>202718</v>
      </c>
      <c r="M98" s="5" t="s">
        <v>258</v>
      </c>
    </row>
    <row r="99" spans="1:13" x14ac:dyDescent="0.25">
      <c r="A99" t="s">
        <v>36</v>
      </c>
      <c r="B99" t="s">
        <v>44</v>
      </c>
      <c r="C99" t="s">
        <v>259</v>
      </c>
      <c r="E99" s="2">
        <v>45935</v>
      </c>
      <c r="F99" s="3">
        <f t="shared" si="4"/>
        <v>202541</v>
      </c>
      <c r="H99" s="4">
        <f t="shared" si="5"/>
        <v>46512</v>
      </c>
      <c r="I99" s="3">
        <f t="shared" si="6"/>
        <v>202719</v>
      </c>
      <c r="M99" s="5" t="s">
        <v>260</v>
      </c>
    </row>
    <row r="100" spans="1:13" x14ac:dyDescent="0.25">
      <c r="A100" t="s">
        <v>36</v>
      </c>
      <c r="B100" t="s">
        <v>12</v>
      </c>
      <c r="C100" t="s">
        <v>261</v>
      </c>
      <c r="E100" s="4">
        <v>45936</v>
      </c>
      <c r="F100" s="6">
        <f t="shared" si="4"/>
        <v>202541</v>
      </c>
      <c r="H100" s="4">
        <f t="shared" si="5"/>
        <v>46519</v>
      </c>
      <c r="I100" s="3">
        <f t="shared" si="6"/>
        <v>202720</v>
      </c>
      <c r="M100" s="5" t="s">
        <v>262</v>
      </c>
    </row>
    <row r="101" spans="1:13" x14ac:dyDescent="0.25">
      <c r="A101" t="s">
        <v>18</v>
      </c>
      <c r="B101" t="s">
        <v>12</v>
      </c>
      <c r="C101" t="s">
        <v>263</v>
      </c>
      <c r="E101" s="2">
        <v>45937</v>
      </c>
      <c r="F101" s="3">
        <f t="shared" si="4"/>
        <v>202541</v>
      </c>
      <c r="H101" s="4">
        <f t="shared" si="5"/>
        <v>46526</v>
      </c>
      <c r="I101" s="3">
        <f t="shared" si="6"/>
        <v>202721</v>
      </c>
      <c r="M101" s="5" t="s">
        <v>264</v>
      </c>
    </row>
    <row r="102" spans="1:13" x14ac:dyDescent="0.25">
      <c r="A102" t="s">
        <v>36</v>
      </c>
      <c r="B102" t="s">
        <v>12</v>
      </c>
      <c r="C102" t="s">
        <v>265</v>
      </c>
      <c r="E102" s="4">
        <v>45938</v>
      </c>
      <c r="F102" s="6">
        <f t="shared" si="4"/>
        <v>202541</v>
      </c>
      <c r="H102" s="4">
        <f t="shared" si="5"/>
        <v>46533</v>
      </c>
      <c r="I102" s="3">
        <f t="shared" si="6"/>
        <v>202722</v>
      </c>
      <c r="M102" s="5" t="s">
        <v>266</v>
      </c>
    </row>
    <row r="103" spans="1:13" x14ac:dyDescent="0.25">
      <c r="A103" t="s">
        <v>36</v>
      </c>
      <c r="B103" t="s">
        <v>49</v>
      </c>
      <c r="C103" t="s">
        <v>267</v>
      </c>
      <c r="E103" s="2">
        <v>45939</v>
      </c>
      <c r="F103" s="3">
        <f t="shared" si="4"/>
        <v>202541</v>
      </c>
      <c r="H103" s="4">
        <f t="shared" si="5"/>
        <v>46540</v>
      </c>
      <c r="I103" s="3">
        <f t="shared" si="6"/>
        <v>202723</v>
      </c>
      <c r="M103" s="5" t="s">
        <v>268</v>
      </c>
    </row>
    <row r="104" spans="1:13" x14ac:dyDescent="0.25">
      <c r="A104" t="s">
        <v>36</v>
      </c>
      <c r="B104" t="s">
        <v>49</v>
      </c>
      <c r="C104" t="s">
        <v>269</v>
      </c>
      <c r="E104" s="4">
        <v>45940</v>
      </c>
      <c r="F104" s="6">
        <f t="shared" si="4"/>
        <v>202541</v>
      </c>
      <c r="H104" s="4">
        <f t="shared" si="5"/>
        <v>46547</v>
      </c>
      <c r="I104" s="3">
        <f t="shared" si="6"/>
        <v>202724</v>
      </c>
      <c r="M104" s="5" t="s">
        <v>270</v>
      </c>
    </row>
    <row r="105" spans="1:13" x14ac:dyDescent="0.25">
      <c r="A105" t="s">
        <v>36</v>
      </c>
      <c r="B105" t="s">
        <v>227</v>
      </c>
      <c r="C105" t="s">
        <v>271</v>
      </c>
      <c r="E105" s="2">
        <v>45941</v>
      </c>
      <c r="F105" s="3">
        <f t="shared" si="4"/>
        <v>202541</v>
      </c>
      <c r="H105" s="4">
        <f t="shared" si="5"/>
        <v>46554</v>
      </c>
      <c r="I105" s="3">
        <f t="shared" si="6"/>
        <v>202725</v>
      </c>
      <c r="M105" s="5" t="s">
        <v>272</v>
      </c>
    </row>
    <row r="106" spans="1:13" x14ac:dyDescent="0.25">
      <c r="A106" t="s">
        <v>36</v>
      </c>
      <c r="B106" t="s">
        <v>32</v>
      </c>
      <c r="C106" t="s">
        <v>273</v>
      </c>
      <c r="E106" s="4">
        <v>45942</v>
      </c>
      <c r="F106" s="6">
        <f t="shared" si="4"/>
        <v>202542</v>
      </c>
      <c r="H106" s="4">
        <f t="shared" si="5"/>
        <v>46561</v>
      </c>
      <c r="I106" s="3">
        <f t="shared" si="6"/>
        <v>202726</v>
      </c>
      <c r="M106" s="5" t="s">
        <v>274</v>
      </c>
    </row>
    <row r="107" spans="1:13" x14ac:dyDescent="0.25">
      <c r="A107" t="s">
        <v>11</v>
      </c>
      <c r="B107" t="s">
        <v>59</v>
      </c>
      <c r="C107" t="s">
        <v>275</v>
      </c>
      <c r="E107" s="2">
        <v>45943</v>
      </c>
      <c r="F107" s="3">
        <f t="shared" si="4"/>
        <v>202542</v>
      </c>
      <c r="H107" s="4">
        <f t="shared" si="5"/>
        <v>46568</v>
      </c>
      <c r="I107" s="3">
        <f t="shared" si="6"/>
        <v>202727</v>
      </c>
      <c r="M107" s="5" t="s">
        <v>276</v>
      </c>
    </row>
    <row r="108" spans="1:13" x14ac:dyDescent="0.25">
      <c r="A108" t="s">
        <v>11</v>
      </c>
      <c r="B108" t="s">
        <v>91</v>
      </c>
      <c r="C108" t="s">
        <v>277</v>
      </c>
      <c r="E108" s="4">
        <v>45944</v>
      </c>
      <c r="F108" s="6">
        <f t="shared" si="4"/>
        <v>202542</v>
      </c>
      <c r="H108" s="4">
        <f t="shared" si="5"/>
        <v>46575</v>
      </c>
      <c r="I108" s="3">
        <f t="shared" si="6"/>
        <v>202728</v>
      </c>
      <c r="M108" s="5" t="s">
        <v>278</v>
      </c>
    </row>
    <row r="109" spans="1:13" x14ac:dyDescent="0.25">
      <c r="A109" t="s">
        <v>11</v>
      </c>
      <c r="B109" t="s">
        <v>44</v>
      </c>
      <c r="C109" t="s">
        <v>279</v>
      </c>
      <c r="E109" s="2">
        <v>45945</v>
      </c>
      <c r="F109" s="3">
        <f t="shared" si="4"/>
        <v>202542</v>
      </c>
      <c r="H109" s="4">
        <f t="shared" si="5"/>
        <v>46582</v>
      </c>
      <c r="I109" s="3">
        <f t="shared" si="6"/>
        <v>202729</v>
      </c>
      <c r="M109" s="5" t="s">
        <v>280</v>
      </c>
    </row>
    <row r="110" spans="1:13" x14ac:dyDescent="0.25">
      <c r="A110" t="s">
        <v>18</v>
      </c>
      <c r="B110" t="s">
        <v>119</v>
      </c>
      <c r="C110" t="s">
        <v>281</v>
      </c>
      <c r="E110" s="4">
        <v>45946</v>
      </c>
      <c r="F110" s="6">
        <f t="shared" si="4"/>
        <v>202542</v>
      </c>
      <c r="H110" s="4">
        <f t="shared" si="5"/>
        <v>46589</v>
      </c>
      <c r="I110" s="3">
        <f t="shared" si="6"/>
        <v>202730</v>
      </c>
      <c r="M110" s="5" t="s">
        <v>282</v>
      </c>
    </row>
    <row r="111" spans="1:13" x14ac:dyDescent="0.25">
      <c r="A111" t="s">
        <v>36</v>
      </c>
      <c r="B111" t="s">
        <v>12</v>
      </c>
      <c r="C111" t="s">
        <v>283</v>
      </c>
      <c r="E111" s="2">
        <v>45947</v>
      </c>
      <c r="F111" s="3">
        <f t="shared" si="4"/>
        <v>202542</v>
      </c>
      <c r="H111" s="4">
        <f t="shared" si="5"/>
        <v>46596</v>
      </c>
      <c r="I111" s="3">
        <f t="shared" si="6"/>
        <v>202731</v>
      </c>
      <c r="M111" s="5" t="s">
        <v>284</v>
      </c>
    </row>
    <row r="112" spans="1:13" x14ac:dyDescent="0.25">
      <c r="A112" t="s">
        <v>36</v>
      </c>
      <c r="B112" t="s">
        <v>119</v>
      </c>
      <c r="C112" t="s">
        <v>285</v>
      </c>
      <c r="E112" s="4">
        <v>45948</v>
      </c>
      <c r="F112" s="6">
        <f t="shared" si="4"/>
        <v>202542</v>
      </c>
      <c r="H112" s="4">
        <f t="shared" si="5"/>
        <v>46603</v>
      </c>
      <c r="I112" s="3">
        <f t="shared" si="6"/>
        <v>202732</v>
      </c>
      <c r="M112" s="5" t="s">
        <v>286</v>
      </c>
    </row>
    <row r="113" spans="1:13" x14ac:dyDescent="0.25">
      <c r="A113" t="s">
        <v>36</v>
      </c>
      <c r="B113" t="s">
        <v>59</v>
      </c>
      <c r="C113" t="s">
        <v>287</v>
      </c>
      <c r="E113" s="2">
        <v>45949</v>
      </c>
      <c r="F113" s="3">
        <f t="shared" si="4"/>
        <v>202543</v>
      </c>
      <c r="H113" s="4">
        <f t="shared" si="5"/>
        <v>46610</v>
      </c>
      <c r="I113" s="3">
        <f t="shared" si="6"/>
        <v>202733</v>
      </c>
      <c r="M113" s="5" t="s">
        <v>288</v>
      </c>
    </row>
    <row r="114" spans="1:13" x14ac:dyDescent="0.25">
      <c r="A114" t="s">
        <v>18</v>
      </c>
      <c r="B114" t="s">
        <v>12</v>
      </c>
      <c r="C114" t="s">
        <v>289</v>
      </c>
      <c r="E114" s="4">
        <v>45950</v>
      </c>
      <c r="F114" s="6">
        <f t="shared" si="4"/>
        <v>202543</v>
      </c>
      <c r="H114" s="4">
        <f t="shared" si="5"/>
        <v>46617</v>
      </c>
      <c r="I114" s="3">
        <f t="shared" si="6"/>
        <v>202734</v>
      </c>
      <c r="M114" s="5" t="s">
        <v>290</v>
      </c>
    </row>
    <row r="115" spans="1:13" x14ac:dyDescent="0.25">
      <c r="A115" t="s">
        <v>11</v>
      </c>
      <c r="B115" t="s">
        <v>119</v>
      </c>
      <c r="C115" t="s">
        <v>291</v>
      </c>
      <c r="E115" s="2">
        <v>45951</v>
      </c>
      <c r="F115" s="3">
        <f t="shared" si="4"/>
        <v>202543</v>
      </c>
      <c r="H115" s="4">
        <f t="shared" si="5"/>
        <v>46624</v>
      </c>
      <c r="I115" s="3">
        <f t="shared" si="6"/>
        <v>202735</v>
      </c>
      <c r="M115" s="5" t="s">
        <v>292</v>
      </c>
    </row>
    <row r="116" spans="1:13" x14ac:dyDescent="0.25">
      <c r="A116" t="s">
        <v>11</v>
      </c>
      <c r="B116" t="s">
        <v>32</v>
      </c>
      <c r="C116" t="s">
        <v>293</v>
      </c>
      <c r="E116" s="4">
        <v>45952</v>
      </c>
      <c r="F116" s="6">
        <f t="shared" si="4"/>
        <v>202543</v>
      </c>
      <c r="H116" s="4">
        <f t="shared" si="5"/>
        <v>46631</v>
      </c>
      <c r="I116" s="3">
        <f t="shared" si="6"/>
        <v>202736</v>
      </c>
      <c r="M116" s="5" t="s">
        <v>294</v>
      </c>
    </row>
    <row r="117" spans="1:13" x14ac:dyDescent="0.25">
      <c r="A117" t="s">
        <v>18</v>
      </c>
      <c r="B117" t="s">
        <v>135</v>
      </c>
      <c r="C117" t="s">
        <v>295</v>
      </c>
      <c r="E117" s="2">
        <v>45953</v>
      </c>
      <c r="F117" s="3">
        <f t="shared" si="4"/>
        <v>202543</v>
      </c>
      <c r="H117" s="4">
        <f t="shared" si="5"/>
        <v>46638</v>
      </c>
      <c r="I117" s="3">
        <f t="shared" si="6"/>
        <v>202737</v>
      </c>
      <c r="M117" s="5" t="s">
        <v>296</v>
      </c>
    </row>
    <row r="118" spans="1:13" x14ac:dyDescent="0.25">
      <c r="A118" t="s">
        <v>36</v>
      </c>
      <c r="B118" t="s">
        <v>119</v>
      </c>
      <c r="C118" t="s">
        <v>297</v>
      </c>
      <c r="E118" s="4">
        <v>45954</v>
      </c>
      <c r="F118" s="6">
        <f t="shared" si="4"/>
        <v>202543</v>
      </c>
      <c r="H118" s="4">
        <f t="shared" si="5"/>
        <v>46645</v>
      </c>
      <c r="I118" s="3">
        <f t="shared" si="6"/>
        <v>202738</v>
      </c>
      <c r="M118" s="5" t="s">
        <v>298</v>
      </c>
    </row>
    <row r="119" spans="1:13" x14ac:dyDescent="0.25">
      <c r="A119" t="s">
        <v>11</v>
      </c>
      <c r="B119" t="s">
        <v>299</v>
      </c>
      <c r="C119" t="s">
        <v>300</v>
      </c>
      <c r="E119" s="2">
        <v>45955</v>
      </c>
      <c r="F119" s="3">
        <f t="shared" si="4"/>
        <v>202543</v>
      </c>
      <c r="H119" s="4">
        <f t="shared" si="5"/>
        <v>46652</v>
      </c>
      <c r="I119" s="3">
        <f t="shared" si="6"/>
        <v>202739</v>
      </c>
      <c r="M119" s="5" t="s">
        <v>301</v>
      </c>
    </row>
    <row r="120" spans="1:13" x14ac:dyDescent="0.25">
      <c r="A120" t="s">
        <v>11</v>
      </c>
      <c r="B120" t="s">
        <v>32</v>
      </c>
      <c r="C120" t="s">
        <v>302</v>
      </c>
      <c r="E120" s="4">
        <v>45956</v>
      </c>
      <c r="F120" s="6">
        <f t="shared" si="4"/>
        <v>202544</v>
      </c>
      <c r="H120" s="4">
        <f t="shared" si="5"/>
        <v>46659</v>
      </c>
      <c r="I120" s="3">
        <f t="shared" si="6"/>
        <v>202740</v>
      </c>
      <c r="M120" s="5" t="s">
        <v>303</v>
      </c>
    </row>
    <row r="121" spans="1:13" x14ac:dyDescent="0.25">
      <c r="A121" t="s">
        <v>18</v>
      </c>
      <c r="B121" t="s">
        <v>236</v>
      </c>
      <c r="C121" t="s">
        <v>304</v>
      </c>
      <c r="E121" s="2">
        <v>45957</v>
      </c>
      <c r="F121" s="3">
        <f t="shared" si="4"/>
        <v>202544</v>
      </c>
      <c r="H121" s="4">
        <f t="shared" si="5"/>
        <v>46666</v>
      </c>
      <c r="I121" s="3">
        <f t="shared" si="6"/>
        <v>202741</v>
      </c>
      <c r="M121" s="5" t="s">
        <v>305</v>
      </c>
    </row>
    <row r="122" spans="1:13" x14ac:dyDescent="0.25">
      <c r="A122" t="s">
        <v>18</v>
      </c>
      <c r="B122" t="s">
        <v>37</v>
      </c>
      <c r="C122" t="s">
        <v>306</v>
      </c>
      <c r="E122" s="4">
        <v>45958</v>
      </c>
      <c r="F122" s="6">
        <f t="shared" si="4"/>
        <v>202544</v>
      </c>
      <c r="H122" s="4">
        <f t="shared" si="5"/>
        <v>46673</v>
      </c>
      <c r="I122" s="3">
        <f t="shared" si="6"/>
        <v>202742</v>
      </c>
      <c r="M122" s="5" t="s">
        <v>307</v>
      </c>
    </row>
    <row r="123" spans="1:13" x14ac:dyDescent="0.25">
      <c r="A123" t="s">
        <v>11</v>
      </c>
      <c r="B123" t="s">
        <v>236</v>
      </c>
      <c r="C123" t="s">
        <v>308</v>
      </c>
      <c r="E123" s="2">
        <v>45959</v>
      </c>
      <c r="F123" s="3">
        <f t="shared" si="4"/>
        <v>202544</v>
      </c>
      <c r="H123" s="4">
        <f t="shared" si="5"/>
        <v>46680</v>
      </c>
      <c r="I123" s="3">
        <f t="shared" si="6"/>
        <v>202743</v>
      </c>
      <c r="M123" s="5" t="s">
        <v>309</v>
      </c>
    </row>
    <row r="124" spans="1:13" x14ac:dyDescent="0.25">
      <c r="A124" t="s">
        <v>18</v>
      </c>
      <c r="B124" t="s">
        <v>12</v>
      </c>
      <c r="C124" t="s">
        <v>310</v>
      </c>
      <c r="E124" s="4">
        <v>45960</v>
      </c>
      <c r="F124" s="6">
        <f t="shared" si="4"/>
        <v>202544</v>
      </c>
      <c r="H124" s="4">
        <f t="shared" si="5"/>
        <v>46687</v>
      </c>
      <c r="I124" s="3">
        <f t="shared" si="6"/>
        <v>202744</v>
      </c>
      <c r="M124" s="5" t="s">
        <v>311</v>
      </c>
    </row>
    <row r="125" spans="1:13" x14ac:dyDescent="0.25">
      <c r="A125" t="s">
        <v>11</v>
      </c>
      <c r="B125" t="s">
        <v>44</v>
      </c>
      <c r="C125" t="s">
        <v>312</v>
      </c>
      <c r="E125" s="2">
        <v>45961</v>
      </c>
      <c r="F125" s="3">
        <f t="shared" si="4"/>
        <v>202544</v>
      </c>
      <c r="H125" s="4">
        <f t="shared" si="5"/>
        <v>46694</v>
      </c>
      <c r="I125" s="3">
        <f t="shared" si="6"/>
        <v>202745</v>
      </c>
      <c r="M125" s="5" t="s">
        <v>313</v>
      </c>
    </row>
    <row r="126" spans="1:13" x14ac:dyDescent="0.25">
      <c r="A126" t="s">
        <v>36</v>
      </c>
      <c r="B126" t="s">
        <v>44</v>
      </c>
      <c r="C126" t="s">
        <v>314</v>
      </c>
      <c r="E126" s="4">
        <v>45962</v>
      </c>
      <c r="F126" s="6">
        <f t="shared" si="4"/>
        <v>202544</v>
      </c>
      <c r="H126" s="4">
        <f t="shared" si="5"/>
        <v>46701</v>
      </c>
      <c r="I126" s="3">
        <f t="shared" si="6"/>
        <v>202746</v>
      </c>
      <c r="M126" s="5" t="s">
        <v>315</v>
      </c>
    </row>
    <row r="127" spans="1:13" x14ac:dyDescent="0.25">
      <c r="A127" t="s">
        <v>11</v>
      </c>
      <c r="B127" t="s">
        <v>44</v>
      </c>
      <c r="C127" t="s">
        <v>316</v>
      </c>
      <c r="E127" s="2">
        <v>45963</v>
      </c>
      <c r="F127" s="3">
        <f t="shared" si="4"/>
        <v>202545</v>
      </c>
      <c r="H127" s="4">
        <f t="shared" si="5"/>
        <v>46708</v>
      </c>
      <c r="I127" s="3">
        <f t="shared" si="6"/>
        <v>202747</v>
      </c>
      <c r="M127" s="5" t="s">
        <v>317</v>
      </c>
    </row>
    <row r="128" spans="1:13" x14ac:dyDescent="0.25">
      <c r="A128" t="s">
        <v>36</v>
      </c>
      <c r="B128" t="s">
        <v>44</v>
      </c>
      <c r="C128" t="s">
        <v>318</v>
      </c>
      <c r="E128" s="4">
        <v>45964</v>
      </c>
      <c r="F128" s="6">
        <f t="shared" si="4"/>
        <v>202545</v>
      </c>
      <c r="H128" s="4">
        <f t="shared" si="5"/>
        <v>46715</v>
      </c>
      <c r="I128" s="3">
        <f t="shared" si="6"/>
        <v>202748</v>
      </c>
      <c r="M128" s="5" t="s">
        <v>319</v>
      </c>
    </row>
    <row r="129" spans="1:13" x14ac:dyDescent="0.25">
      <c r="A129" t="s">
        <v>18</v>
      </c>
      <c r="B129" t="s">
        <v>32</v>
      </c>
      <c r="C129" t="s">
        <v>320</v>
      </c>
      <c r="E129" s="2">
        <v>45965</v>
      </c>
      <c r="F129" s="3">
        <f t="shared" si="4"/>
        <v>202545</v>
      </c>
      <c r="H129" s="4">
        <f t="shared" si="5"/>
        <v>46722</v>
      </c>
      <c r="I129" s="3">
        <f t="shared" si="6"/>
        <v>202749</v>
      </c>
      <c r="M129" s="5" t="s">
        <v>321</v>
      </c>
    </row>
    <row r="130" spans="1:13" x14ac:dyDescent="0.25">
      <c r="A130" t="s">
        <v>11</v>
      </c>
      <c r="B130" t="s">
        <v>32</v>
      </c>
      <c r="C130" t="s">
        <v>322</v>
      </c>
      <c r="E130" s="4">
        <v>45966</v>
      </c>
      <c r="F130" s="6">
        <f t="shared" si="4"/>
        <v>202545</v>
      </c>
      <c r="H130" s="4">
        <f t="shared" si="5"/>
        <v>46729</v>
      </c>
      <c r="I130" s="3">
        <f t="shared" si="6"/>
        <v>202750</v>
      </c>
      <c r="M130" s="5" t="s">
        <v>323</v>
      </c>
    </row>
    <row r="131" spans="1:13" x14ac:dyDescent="0.25">
      <c r="A131" t="s">
        <v>18</v>
      </c>
      <c r="B131" t="s">
        <v>12</v>
      </c>
      <c r="C131" t="s">
        <v>324</v>
      </c>
      <c r="E131" s="2">
        <v>45967</v>
      </c>
      <c r="F131" s="3">
        <f t="shared" ref="F131:F194" si="7">_xlfn.CONCAT(YEAR(E131),TEXT(WEEKNUM(E131,1),"00"))*1</f>
        <v>202545</v>
      </c>
      <c r="H131" s="4">
        <f t="shared" si="5"/>
        <v>46736</v>
      </c>
      <c r="I131" s="3">
        <f t="shared" si="6"/>
        <v>202751</v>
      </c>
      <c r="M131" s="5" t="s">
        <v>325</v>
      </c>
    </row>
    <row r="132" spans="1:13" x14ac:dyDescent="0.25">
      <c r="A132" t="s">
        <v>18</v>
      </c>
      <c r="B132" t="s">
        <v>44</v>
      </c>
      <c r="C132" t="s">
        <v>326</v>
      </c>
      <c r="E132" s="4">
        <v>45968</v>
      </c>
      <c r="F132" s="6">
        <f t="shared" si="7"/>
        <v>202545</v>
      </c>
      <c r="H132" s="4">
        <f t="shared" si="5"/>
        <v>46743</v>
      </c>
      <c r="I132" s="3">
        <f t="shared" si="6"/>
        <v>202752</v>
      </c>
      <c r="M132" s="5" t="s">
        <v>327</v>
      </c>
    </row>
    <row r="133" spans="1:13" x14ac:dyDescent="0.25">
      <c r="A133" t="s">
        <v>36</v>
      </c>
      <c r="B133" t="s">
        <v>119</v>
      </c>
      <c r="C133" t="s">
        <v>328</v>
      </c>
      <c r="E133" s="2">
        <v>45969</v>
      </c>
      <c r="F133" s="3">
        <f t="shared" si="7"/>
        <v>202545</v>
      </c>
      <c r="H133" s="4">
        <f t="shared" ref="H133:H142" si="8">+H132+7</f>
        <v>46750</v>
      </c>
      <c r="I133" s="3">
        <f t="shared" si="6"/>
        <v>202753</v>
      </c>
      <c r="M133" s="5" t="s">
        <v>329</v>
      </c>
    </row>
    <row r="134" spans="1:13" x14ac:dyDescent="0.25">
      <c r="A134" t="s">
        <v>18</v>
      </c>
      <c r="B134" t="s">
        <v>59</v>
      </c>
      <c r="C134" t="s">
        <v>330</v>
      </c>
      <c r="E134" s="4">
        <v>45970</v>
      </c>
      <c r="F134" s="6">
        <f t="shared" si="7"/>
        <v>202546</v>
      </c>
      <c r="H134" s="4">
        <f t="shared" si="8"/>
        <v>46757</v>
      </c>
      <c r="I134" s="3">
        <f t="shared" si="6"/>
        <v>202802</v>
      </c>
      <c r="M134" s="5" t="s">
        <v>331</v>
      </c>
    </row>
    <row r="135" spans="1:13" x14ac:dyDescent="0.25">
      <c r="A135" t="s">
        <v>36</v>
      </c>
      <c r="B135" t="s">
        <v>49</v>
      </c>
      <c r="C135" t="s">
        <v>332</v>
      </c>
      <c r="E135" s="2">
        <v>45971</v>
      </c>
      <c r="F135" s="3">
        <f t="shared" si="7"/>
        <v>202546</v>
      </c>
      <c r="H135" s="4">
        <f t="shared" si="8"/>
        <v>46764</v>
      </c>
      <c r="I135" s="3">
        <f t="shared" si="6"/>
        <v>202803</v>
      </c>
      <c r="M135" s="5" t="s">
        <v>333</v>
      </c>
    </row>
    <row r="136" spans="1:13" x14ac:dyDescent="0.25">
      <c r="A136" t="s">
        <v>36</v>
      </c>
      <c r="B136" t="s">
        <v>12</v>
      </c>
      <c r="C136" t="s">
        <v>334</v>
      </c>
      <c r="E136" s="4">
        <v>45972</v>
      </c>
      <c r="F136" s="6">
        <f t="shared" si="7"/>
        <v>202546</v>
      </c>
      <c r="H136" s="4">
        <f t="shared" si="8"/>
        <v>46771</v>
      </c>
      <c r="I136" s="3">
        <f t="shared" si="6"/>
        <v>202804</v>
      </c>
      <c r="M136" s="5" t="s">
        <v>335</v>
      </c>
    </row>
    <row r="137" spans="1:13" x14ac:dyDescent="0.25">
      <c r="A137" t="s">
        <v>11</v>
      </c>
      <c r="B137" t="s">
        <v>49</v>
      </c>
      <c r="C137" t="s">
        <v>336</v>
      </c>
      <c r="E137" s="2">
        <v>45973</v>
      </c>
      <c r="F137" s="3">
        <f t="shared" si="7"/>
        <v>202546</v>
      </c>
      <c r="H137" s="4">
        <f t="shared" si="8"/>
        <v>46778</v>
      </c>
      <c r="I137" s="3">
        <f t="shared" si="6"/>
        <v>202805</v>
      </c>
      <c r="M137" s="5" t="s">
        <v>337</v>
      </c>
    </row>
    <row r="138" spans="1:13" x14ac:dyDescent="0.25">
      <c r="A138" t="s">
        <v>18</v>
      </c>
      <c r="B138" t="s">
        <v>12</v>
      </c>
      <c r="C138" t="s">
        <v>338</v>
      </c>
      <c r="E138" s="4">
        <v>45974</v>
      </c>
      <c r="F138" s="6">
        <f t="shared" si="7"/>
        <v>202546</v>
      </c>
      <c r="H138" s="4">
        <f t="shared" si="8"/>
        <v>46785</v>
      </c>
      <c r="I138" s="3">
        <f t="shared" si="6"/>
        <v>202806</v>
      </c>
      <c r="M138" s="5" t="s">
        <v>339</v>
      </c>
    </row>
    <row r="139" spans="1:13" x14ac:dyDescent="0.25">
      <c r="A139" t="s">
        <v>11</v>
      </c>
      <c r="B139" t="s">
        <v>12</v>
      </c>
      <c r="C139" t="s">
        <v>340</v>
      </c>
      <c r="E139" s="2">
        <v>45975</v>
      </c>
      <c r="F139" s="3">
        <f t="shared" si="7"/>
        <v>202546</v>
      </c>
      <c r="H139" s="4">
        <f t="shared" si="8"/>
        <v>46792</v>
      </c>
      <c r="I139" s="3">
        <f t="shared" si="6"/>
        <v>202807</v>
      </c>
      <c r="M139" s="5" t="s">
        <v>341</v>
      </c>
    </row>
    <row r="140" spans="1:13" x14ac:dyDescent="0.25">
      <c r="A140" t="s">
        <v>11</v>
      </c>
      <c r="B140" t="s">
        <v>32</v>
      </c>
      <c r="C140" t="s">
        <v>342</v>
      </c>
      <c r="E140" s="4">
        <v>45976</v>
      </c>
      <c r="F140" s="6">
        <f t="shared" si="7"/>
        <v>202546</v>
      </c>
      <c r="H140" s="4">
        <f t="shared" si="8"/>
        <v>46799</v>
      </c>
      <c r="I140" s="3">
        <f t="shared" si="6"/>
        <v>202808</v>
      </c>
      <c r="M140" s="5" t="s">
        <v>343</v>
      </c>
    </row>
    <row r="141" spans="1:13" x14ac:dyDescent="0.25">
      <c r="A141" t="s">
        <v>11</v>
      </c>
      <c r="B141" t="s">
        <v>12</v>
      </c>
      <c r="C141" t="s">
        <v>344</v>
      </c>
      <c r="E141" s="2">
        <v>45977</v>
      </c>
      <c r="F141" s="3">
        <f t="shared" si="7"/>
        <v>202547</v>
      </c>
      <c r="H141" s="4">
        <f t="shared" si="8"/>
        <v>46806</v>
      </c>
      <c r="I141" s="3">
        <f t="shared" si="6"/>
        <v>202809</v>
      </c>
      <c r="M141" s="5" t="s">
        <v>345</v>
      </c>
    </row>
    <row r="142" spans="1:13" x14ac:dyDescent="0.25">
      <c r="A142" t="s">
        <v>18</v>
      </c>
      <c r="B142" t="s">
        <v>12</v>
      </c>
      <c r="C142" t="s">
        <v>346</v>
      </c>
      <c r="E142" s="4">
        <v>45978</v>
      </c>
      <c r="F142" s="6">
        <f t="shared" si="7"/>
        <v>202547</v>
      </c>
      <c r="H142" s="4">
        <f t="shared" si="8"/>
        <v>46813</v>
      </c>
      <c r="I142" s="3">
        <f t="shared" si="6"/>
        <v>202810</v>
      </c>
      <c r="M142" s="5" t="s">
        <v>347</v>
      </c>
    </row>
    <row r="143" spans="1:13" x14ac:dyDescent="0.25">
      <c r="A143" t="s">
        <v>11</v>
      </c>
      <c r="B143" t="s">
        <v>348</v>
      </c>
      <c r="C143" t="s">
        <v>349</v>
      </c>
      <c r="E143" s="2">
        <v>45979</v>
      </c>
      <c r="F143" s="3">
        <f t="shared" si="7"/>
        <v>202547</v>
      </c>
      <c r="M143" s="5" t="s">
        <v>350</v>
      </c>
    </row>
    <row r="144" spans="1:13" x14ac:dyDescent="0.25">
      <c r="A144" t="s">
        <v>18</v>
      </c>
      <c r="B144" t="s">
        <v>32</v>
      </c>
      <c r="C144" t="s">
        <v>351</v>
      </c>
      <c r="E144" s="4">
        <v>45980</v>
      </c>
      <c r="F144" s="6">
        <f t="shared" si="7"/>
        <v>202547</v>
      </c>
      <c r="M144" s="5" t="s">
        <v>352</v>
      </c>
    </row>
    <row r="145" spans="1:13" x14ac:dyDescent="0.25">
      <c r="A145" t="s">
        <v>11</v>
      </c>
      <c r="B145" t="s">
        <v>44</v>
      </c>
      <c r="C145" t="s">
        <v>353</v>
      </c>
      <c r="E145" s="2">
        <v>45981</v>
      </c>
      <c r="F145" s="3">
        <f t="shared" si="7"/>
        <v>202547</v>
      </c>
      <c r="M145" s="5" t="s">
        <v>354</v>
      </c>
    </row>
    <row r="146" spans="1:13" x14ac:dyDescent="0.25">
      <c r="A146" t="s">
        <v>36</v>
      </c>
      <c r="B146" t="s">
        <v>49</v>
      </c>
      <c r="C146" t="s">
        <v>355</v>
      </c>
      <c r="E146" s="4">
        <v>45982</v>
      </c>
      <c r="F146" s="6">
        <f t="shared" si="7"/>
        <v>202547</v>
      </c>
      <c r="M146" s="5" t="s">
        <v>356</v>
      </c>
    </row>
    <row r="147" spans="1:13" x14ac:dyDescent="0.25">
      <c r="A147" t="s">
        <v>18</v>
      </c>
      <c r="B147" t="s">
        <v>135</v>
      </c>
      <c r="C147" t="s">
        <v>357</v>
      </c>
      <c r="E147" s="2">
        <v>45983</v>
      </c>
      <c r="F147" s="3">
        <f t="shared" si="7"/>
        <v>202547</v>
      </c>
      <c r="M147" s="5" t="s">
        <v>358</v>
      </c>
    </row>
    <row r="148" spans="1:13" x14ac:dyDescent="0.25">
      <c r="A148" t="s">
        <v>36</v>
      </c>
      <c r="B148" t="s">
        <v>119</v>
      </c>
      <c r="C148" t="s">
        <v>359</v>
      </c>
      <c r="E148" s="4">
        <v>45984</v>
      </c>
      <c r="F148" s="6">
        <f t="shared" si="7"/>
        <v>202548</v>
      </c>
      <c r="M148" s="5" t="s">
        <v>360</v>
      </c>
    </row>
    <row r="149" spans="1:13" x14ac:dyDescent="0.25">
      <c r="A149" t="s">
        <v>18</v>
      </c>
      <c r="B149" t="s">
        <v>12</v>
      </c>
      <c r="C149" t="s">
        <v>361</v>
      </c>
      <c r="E149" s="2">
        <v>45985</v>
      </c>
      <c r="F149" s="3">
        <f t="shared" si="7"/>
        <v>202548</v>
      </c>
      <c r="M149" s="5" t="s">
        <v>362</v>
      </c>
    </row>
    <row r="150" spans="1:13" x14ac:dyDescent="0.25">
      <c r="A150" t="s">
        <v>11</v>
      </c>
      <c r="B150" t="s">
        <v>37</v>
      </c>
      <c r="C150" t="s">
        <v>363</v>
      </c>
      <c r="E150" s="4">
        <v>45986</v>
      </c>
      <c r="F150" s="6">
        <f t="shared" si="7"/>
        <v>202548</v>
      </c>
      <c r="M150" s="5" t="s">
        <v>364</v>
      </c>
    </row>
    <row r="151" spans="1:13" x14ac:dyDescent="0.25">
      <c r="A151" t="s">
        <v>11</v>
      </c>
      <c r="B151" t="s">
        <v>12</v>
      </c>
      <c r="C151" t="s">
        <v>365</v>
      </c>
      <c r="E151" s="2">
        <v>45987</v>
      </c>
      <c r="F151" s="3">
        <f t="shared" si="7"/>
        <v>202548</v>
      </c>
      <c r="M151" s="5" t="s">
        <v>366</v>
      </c>
    </row>
    <row r="152" spans="1:13" x14ac:dyDescent="0.25">
      <c r="A152" t="s">
        <v>18</v>
      </c>
      <c r="B152" t="s">
        <v>12</v>
      </c>
      <c r="C152" t="s">
        <v>367</v>
      </c>
      <c r="E152" s="4">
        <v>45988</v>
      </c>
      <c r="F152" s="6">
        <f t="shared" si="7"/>
        <v>202548</v>
      </c>
      <c r="M152" s="5" t="s">
        <v>368</v>
      </c>
    </row>
    <row r="153" spans="1:13" x14ac:dyDescent="0.25">
      <c r="A153" t="s">
        <v>11</v>
      </c>
      <c r="B153" t="s">
        <v>119</v>
      </c>
      <c r="C153" t="s">
        <v>369</v>
      </c>
      <c r="E153" s="2">
        <v>45989</v>
      </c>
      <c r="F153" s="3">
        <f t="shared" si="7"/>
        <v>202548</v>
      </c>
      <c r="M153" s="5" t="s">
        <v>370</v>
      </c>
    </row>
    <row r="154" spans="1:13" x14ac:dyDescent="0.25">
      <c r="A154" t="s">
        <v>36</v>
      </c>
      <c r="B154" t="s">
        <v>49</v>
      </c>
      <c r="C154" t="s">
        <v>371</v>
      </c>
      <c r="E154" s="4">
        <v>45990</v>
      </c>
      <c r="F154" s="6">
        <f t="shared" si="7"/>
        <v>202548</v>
      </c>
      <c r="M154" s="5" t="s">
        <v>372</v>
      </c>
    </row>
    <row r="155" spans="1:13" x14ac:dyDescent="0.25">
      <c r="A155" t="s">
        <v>36</v>
      </c>
      <c r="B155" t="s">
        <v>49</v>
      </c>
      <c r="C155" t="s">
        <v>373</v>
      </c>
      <c r="E155" s="2">
        <v>45991</v>
      </c>
      <c r="F155" s="3">
        <f t="shared" si="7"/>
        <v>202549</v>
      </c>
      <c r="M155" s="5" t="s">
        <v>374</v>
      </c>
    </row>
    <row r="156" spans="1:13" x14ac:dyDescent="0.25">
      <c r="A156" t="s">
        <v>36</v>
      </c>
      <c r="B156" t="s">
        <v>49</v>
      </c>
      <c r="C156" t="s">
        <v>375</v>
      </c>
      <c r="E156" s="4">
        <v>45992</v>
      </c>
      <c r="F156" s="6">
        <f t="shared" si="7"/>
        <v>202549</v>
      </c>
      <c r="M156" s="5" t="s">
        <v>376</v>
      </c>
    </row>
    <row r="157" spans="1:13" x14ac:dyDescent="0.25">
      <c r="A157" t="s">
        <v>36</v>
      </c>
      <c r="B157" t="s">
        <v>37</v>
      </c>
      <c r="C157" t="s">
        <v>377</v>
      </c>
      <c r="E157" s="2">
        <v>45993</v>
      </c>
      <c r="F157" s="3">
        <f t="shared" si="7"/>
        <v>202549</v>
      </c>
      <c r="M157" s="5" t="s">
        <v>378</v>
      </c>
    </row>
    <row r="158" spans="1:13" x14ac:dyDescent="0.25">
      <c r="A158" t="s">
        <v>36</v>
      </c>
      <c r="B158" t="s">
        <v>32</v>
      </c>
      <c r="C158" t="s">
        <v>379</v>
      </c>
      <c r="E158" s="4">
        <v>45994</v>
      </c>
      <c r="F158" s="6">
        <f t="shared" si="7"/>
        <v>202549</v>
      </c>
      <c r="M158" s="5" t="s">
        <v>380</v>
      </c>
    </row>
    <row r="159" spans="1:13" x14ac:dyDescent="0.25">
      <c r="A159" t="s">
        <v>11</v>
      </c>
      <c r="B159" t="s">
        <v>69</v>
      </c>
      <c r="C159" t="s">
        <v>381</v>
      </c>
      <c r="E159" s="2">
        <v>45995</v>
      </c>
      <c r="F159" s="3">
        <f t="shared" si="7"/>
        <v>202549</v>
      </c>
      <c r="M159" s="5" t="s">
        <v>382</v>
      </c>
    </row>
    <row r="160" spans="1:13" x14ac:dyDescent="0.25">
      <c r="A160" t="s">
        <v>18</v>
      </c>
      <c r="B160" t="s">
        <v>44</v>
      </c>
      <c r="C160" t="s">
        <v>383</v>
      </c>
      <c r="E160" s="4">
        <v>45996</v>
      </c>
      <c r="F160" s="6">
        <f t="shared" si="7"/>
        <v>202549</v>
      </c>
      <c r="M160" s="5" t="s">
        <v>384</v>
      </c>
    </row>
    <row r="161" spans="1:13" x14ac:dyDescent="0.25">
      <c r="A161" t="s">
        <v>18</v>
      </c>
      <c r="B161" t="s">
        <v>37</v>
      </c>
      <c r="C161" t="s">
        <v>385</v>
      </c>
      <c r="E161" s="2">
        <v>45997</v>
      </c>
      <c r="F161" s="3">
        <f t="shared" si="7"/>
        <v>202549</v>
      </c>
      <c r="M161" s="5" t="s">
        <v>386</v>
      </c>
    </row>
    <row r="162" spans="1:13" x14ac:dyDescent="0.25">
      <c r="A162" t="s">
        <v>18</v>
      </c>
      <c r="B162" t="s">
        <v>119</v>
      </c>
      <c r="C162" t="s">
        <v>387</v>
      </c>
      <c r="E162" s="4">
        <v>45998</v>
      </c>
      <c r="F162" s="6">
        <f t="shared" si="7"/>
        <v>202550</v>
      </c>
      <c r="M162" s="5" t="s">
        <v>388</v>
      </c>
    </row>
    <row r="163" spans="1:13" x14ac:dyDescent="0.25">
      <c r="A163" t="s">
        <v>18</v>
      </c>
      <c r="B163" t="s">
        <v>227</v>
      </c>
      <c r="C163" t="s">
        <v>389</v>
      </c>
      <c r="E163" s="2">
        <v>45999</v>
      </c>
      <c r="F163" s="3">
        <f t="shared" si="7"/>
        <v>202550</v>
      </c>
      <c r="M163" s="5" t="s">
        <v>390</v>
      </c>
    </row>
    <row r="164" spans="1:13" x14ac:dyDescent="0.25">
      <c r="A164" t="s">
        <v>11</v>
      </c>
      <c r="B164" t="s">
        <v>32</v>
      </c>
      <c r="C164" t="s">
        <v>391</v>
      </c>
      <c r="E164" s="4">
        <v>46000</v>
      </c>
      <c r="F164" s="6">
        <f t="shared" si="7"/>
        <v>202550</v>
      </c>
      <c r="M164" s="5" t="s">
        <v>392</v>
      </c>
    </row>
    <row r="165" spans="1:13" x14ac:dyDescent="0.25">
      <c r="A165" t="s">
        <v>11</v>
      </c>
      <c r="B165" t="s">
        <v>37</v>
      </c>
      <c r="C165" t="s">
        <v>393</v>
      </c>
      <c r="E165" s="2">
        <v>46001</v>
      </c>
      <c r="F165" s="3">
        <f t="shared" si="7"/>
        <v>202550</v>
      </c>
      <c r="M165" s="5" t="s">
        <v>394</v>
      </c>
    </row>
    <row r="166" spans="1:13" x14ac:dyDescent="0.25">
      <c r="A166" t="s">
        <v>36</v>
      </c>
      <c r="B166" t="s">
        <v>12</v>
      </c>
      <c r="C166" t="s">
        <v>395</v>
      </c>
      <c r="E166" s="4">
        <v>46002</v>
      </c>
      <c r="F166" s="6">
        <f t="shared" si="7"/>
        <v>202550</v>
      </c>
      <c r="M166" s="5" t="s">
        <v>396</v>
      </c>
    </row>
    <row r="167" spans="1:13" x14ac:dyDescent="0.25">
      <c r="A167" t="s">
        <v>36</v>
      </c>
      <c r="B167" t="s">
        <v>119</v>
      </c>
      <c r="C167" t="s">
        <v>397</v>
      </c>
      <c r="E167" s="2">
        <v>46003</v>
      </c>
      <c r="F167" s="3">
        <f t="shared" si="7"/>
        <v>202550</v>
      </c>
      <c r="M167" s="5" t="s">
        <v>398</v>
      </c>
    </row>
    <row r="168" spans="1:13" x14ac:dyDescent="0.25">
      <c r="A168" t="s">
        <v>36</v>
      </c>
      <c r="B168" t="s">
        <v>49</v>
      </c>
      <c r="C168" t="s">
        <v>399</v>
      </c>
      <c r="E168" s="4">
        <v>46004</v>
      </c>
      <c r="F168" s="6">
        <f t="shared" si="7"/>
        <v>202550</v>
      </c>
      <c r="M168" s="5" t="s">
        <v>400</v>
      </c>
    </row>
    <row r="169" spans="1:13" x14ac:dyDescent="0.25">
      <c r="A169" t="s">
        <v>36</v>
      </c>
      <c r="B169" t="s">
        <v>119</v>
      </c>
      <c r="C169" t="s">
        <v>401</v>
      </c>
      <c r="E169" s="2">
        <v>46005</v>
      </c>
      <c r="F169" s="3">
        <f t="shared" si="7"/>
        <v>202551</v>
      </c>
      <c r="M169" s="5" t="s">
        <v>402</v>
      </c>
    </row>
    <row r="170" spans="1:13" x14ac:dyDescent="0.25">
      <c r="A170" t="s">
        <v>36</v>
      </c>
      <c r="B170" t="s">
        <v>37</v>
      </c>
      <c r="C170" t="s">
        <v>403</v>
      </c>
      <c r="E170" s="4">
        <v>46006</v>
      </c>
      <c r="F170" s="6">
        <f t="shared" si="7"/>
        <v>202551</v>
      </c>
      <c r="M170" s="5" t="s">
        <v>404</v>
      </c>
    </row>
    <row r="171" spans="1:13" x14ac:dyDescent="0.25">
      <c r="A171" t="s">
        <v>36</v>
      </c>
      <c r="B171" t="s">
        <v>12</v>
      </c>
      <c r="C171" t="s">
        <v>405</v>
      </c>
      <c r="E171" s="2">
        <v>46007</v>
      </c>
      <c r="F171" s="3">
        <f t="shared" si="7"/>
        <v>202551</v>
      </c>
      <c r="M171" s="5" t="s">
        <v>406</v>
      </c>
    </row>
    <row r="172" spans="1:13" x14ac:dyDescent="0.25">
      <c r="A172" t="s">
        <v>36</v>
      </c>
      <c r="B172" t="s">
        <v>44</v>
      </c>
      <c r="C172" t="s">
        <v>407</v>
      </c>
      <c r="E172" s="4">
        <v>46008</v>
      </c>
      <c r="F172" s="6">
        <f t="shared" si="7"/>
        <v>202551</v>
      </c>
      <c r="M172" s="5" t="s">
        <v>408</v>
      </c>
    </row>
    <row r="173" spans="1:13" x14ac:dyDescent="0.25">
      <c r="A173" t="s">
        <v>11</v>
      </c>
      <c r="B173" t="s">
        <v>37</v>
      </c>
      <c r="C173" t="s">
        <v>409</v>
      </c>
      <c r="E173" s="2">
        <v>46009</v>
      </c>
      <c r="F173" s="3">
        <f t="shared" si="7"/>
        <v>202551</v>
      </c>
      <c r="M173" s="5" t="s">
        <v>410</v>
      </c>
    </row>
    <row r="174" spans="1:13" x14ac:dyDescent="0.25">
      <c r="A174" t="s">
        <v>18</v>
      </c>
      <c r="B174" t="s">
        <v>119</v>
      </c>
      <c r="C174" t="s">
        <v>411</v>
      </c>
      <c r="E174" s="4">
        <v>46010</v>
      </c>
      <c r="F174" s="6">
        <f t="shared" si="7"/>
        <v>202551</v>
      </c>
      <c r="M174" s="5" t="s">
        <v>412</v>
      </c>
    </row>
    <row r="175" spans="1:13" x14ac:dyDescent="0.25">
      <c r="A175" t="s">
        <v>36</v>
      </c>
      <c r="B175" t="s">
        <v>119</v>
      </c>
      <c r="C175" t="s">
        <v>413</v>
      </c>
      <c r="E175" s="2">
        <v>46011</v>
      </c>
      <c r="F175" s="3">
        <f t="shared" si="7"/>
        <v>202551</v>
      </c>
      <c r="M175" s="5" t="s">
        <v>414</v>
      </c>
    </row>
    <row r="176" spans="1:13" x14ac:dyDescent="0.25">
      <c r="A176" t="s">
        <v>18</v>
      </c>
      <c r="B176" t="s">
        <v>49</v>
      </c>
      <c r="C176" t="s">
        <v>415</v>
      </c>
      <c r="E176" s="4">
        <v>46012</v>
      </c>
      <c r="F176" s="6">
        <f t="shared" si="7"/>
        <v>202552</v>
      </c>
      <c r="M176" s="5" t="s">
        <v>416</v>
      </c>
    </row>
    <row r="177" spans="1:13" x14ac:dyDescent="0.25">
      <c r="A177" t="s">
        <v>18</v>
      </c>
      <c r="B177" t="s">
        <v>236</v>
      </c>
      <c r="C177" t="s">
        <v>417</v>
      </c>
      <c r="E177" s="2">
        <v>46013</v>
      </c>
      <c r="F177" s="3">
        <f t="shared" si="7"/>
        <v>202552</v>
      </c>
      <c r="M177" s="5" t="s">
        <v>418</v>
      </c>
    </row>
    <row r="178" spans="1:13" x14ac:dyDescent="0.25">
      <c r="A178" t="s">
        <v>18</v>
      </c>
      <c r="B178" t="s">
        <v>69</v>
      </c>
      <c r="C178" t="s">
        <v>419</v>
      </c>
      <c r="E178" s="4">
        <v>46014</v>
      </c>
      <c r="F178" s="6">
        <f t="shared" si="7"/>
        <v>202552</v>
      </c>
      <c r="M178" s="5" t="s">
        <v>420</v>
      </c>
    </row>
    <row r="179" spans="1:13" x14ac:dyDescent="0.25">
      <c r="A179" t="s">
        <v>18</v>
      </c>
      <c r="B179" t="s">
        <v>59</v>
      </c>
      <c r="C179" t="s">
        <v>421</v>
      </c>
      <c r="E179" s="2">
        <v>46015</v>
      </c>
      <c r="F179" s="3">
        <f t="shared" si="7"/>
        <v>202552</v>
      </c>
      <c r="M179" s="5" t="s">
        <v>422</v>
      </c>
    </row>
    <row r="180" spans="1:13" x14ac:dyDescent="0.25">
      <c r="A180" t="s">
        <v>36</v>
      </c>
      <c r="B180" t="s">
        <v>119</v>
      </c>
      <c r="C180" t="s">
        <v>423</v>
      </c>
      <c r="E180" s="4">
        <v>46016</v>
      </c>
      <c r="F180" s="6">
        <f t="shared" si="7"/>
        <v>202552</v>
      </c>
      <c r="M180" s="5" t="s">
        <v>424</v>
      </c>
    </row>
    <row r="181" spans="1:13" x14ac:dyDescent="0.25">
      <c r="A181" t="s">
        <v>11</v>
      </c>
      <c r="B181" t="s">
        <v>44</v>
      </c>
      <c r="C181" t="s">
        <v>425</v>
      </c>
      <c r="E181" s="2">
        <v>46017</v>
      </c>
      <c r="F181" s="3">
        <f t="shared" si="7"/>
        <v>202552</v>
      </c>
      <c r="M181" s="5" t="s">
        <v>426</v>
      </c>
    </row>
    <row r="182" spans="1:13" x14ac:dyDescent="0.25">
      <c r="A182" t="s">
        <v>11</v>
      </c>
      <c r="B182" t="s">
        <v>119</v>
      </c>
      <c r="C182" t="s">
        <v>427</v>
      </c>
      <c r="E182" s="4">
        <v>46018</v>
      </c>
      <c r="F182" s="6">
        <f t="shared" si="7"/>
        <v>202552</v>
      </c>
      <c r="M182" s="5" t="s">
        <v>428</v>
      </c>
    </row>
    <row r="183" spans="1:13" x14ac:dyDescent="0.25">
      <c r="A183" t="s">
        <v>36</v>
      </c>
      <c r="B183" t="s">
        <v>12</v>
      </c>
      <c r="C183" t="s">
        <v>429</v>
      </c>
      <c r="E183" s="2">
        <v>46019</v>
      </c>
      <c r="F183" s="8">
        <v>202601</v>
      </c>
      <c r="M183" s="5" t="s">
        <v>430</v>
      </c>
    </row>
    <row r="184" spans="1:13" x14ac:dyDescent="0.25">
      <c r="A184" t="s">
        <v>11</v>
      </c>
      <c r="B184" t="s">
        <v>69</v>
      </c>
      <c r="C184" t="s">
        <v>431</v>
      </c>
      <c r="E184" s="4">
        <v>46020</v>
      </c>
      <c r="F184" s="8">
        <v>202601</v>
      </c>
      <c r="M184" s="5" t="s">
        <v>432</v>
      </c>
    </row>
    <row r="185" spans="1:13" x14ac:dyDescent="0.25">
      <c r="A185" t="s">
        <v>36</v>
      </c>
      <c r="B185" t="s">
        <v>12</v>
      </c>
      <c r="C185" t="s">
        <v>433</v>
      </c>
      <c r="E185" s="2">
        <v>46021</v>
      </c>
      <c r="F185" s="8">
        <v>202601</v>
      </c>
      <c r="M185" s="5" t="s">
        <v>434</v>
      </c>
    </row>
    <row r="186" spans="1:13" x14ac:dyDescent="0.25">
      <c r="A186" t="s">
        <v>36</v>
      </c>
      <c r="B186" t="s">
        <v>12</v>
      </c>
      <c r="C186" t="s">
        <v>435</v>
      </c>
      <c r="E186" s="4">
        <v>46022</v>
      </c>
      <c r="F186" s="8">
        <v>202601</v>
      </c>
      <c r="M186" s="5" t="s">
        <v>436</v>
      </c>
    </row>
    <row r="187" spans="1:13" x14ac:dyDescent="0.25">
      <c r="A187" t="s">
        <v>36</v>
      </c>
      <c r="B187" t="s">
        <v>44</v>
      </c>
      <c r="C187" t="s">
        <v>437</v>
      </c>
      <c r="E187" s="2">
        <v>46023</v>
      </c>
      <c r="F187" s="7">
        <f t="shared" si="7"/>
        <v>202601</v>
      </c>
      <c r="M187" s="5" t="s">
        <v>438</v>
      </c>
    </row>
    <row r="188" spans="1:13" x14ac:dyDescent="0.25">
      <c r="A188" t="s">
        <v>36</v>
      </c>
      <c r="B188" t="s">
        <v>12</v>
      </c>
      <c r="C188" t="s">
        <v>439</v>
      </c>
      <c r="E188" s="4">
        <v>46024</v>
      </c>
      <c r="F188" s="6">
        <f t="shared" si="7"/>
        <v>202601</v>
      </c>
      <c r="M188" s="5" t="s">
        <v>440</v>
      </c>
    </row>
    <row r="189" spans="1:13" x14ac:dyDescent="0.25">
      <c r="A189" t="s">
        <v>18</v>
      </c>
      <c r="B189" t="s">
        <v>12</v>
      </c>
      <c r="C189" t="s">
        <v>441</v>
      </c>
      <c r="E189" s="2">
        <v>46025</v>
      </c>
      <c r="F189" s="3">
        <f t="shared" si="7"/>
        <v>202601</v>
      </c>
      <c r="M189" s="5" t="s">
        <v>442</v>
      </c>
    </row>
    <row r="190" spans="1:13" x14ac:dyDescent="0.25">
      <c r="A190" t="s">
        <v>11</v>
      </c>
      <c r="B190" t="s">
        <v>44</v>
      </c>
      <c r="C190" t="s">
        <v>443</v>
      </c>
      <c r="E190" s="4">
        <v>46026</v>
      </c>
      <c r="F190" s="6">
        <f t="shared" si="7"/>
        <v>202602</v>
      </c>
      <c r="M190" s="5" t="s">
        <v>444</v>
      </c>
    </row>
    <row r="191" spans="1:13" x14ac:dyDescent="0.25">
      <c r="A191" t="s">
        <v>18</v>
      </c>
      <c r="B191" t="s">
        <v>44</v>
      </c>
      <c r="C191" t="s">
        <v>445</v>
      </c>
      <c r="E191" s="2">
        <v>46027</v>
      </c>
      <c r="F191" s="3">
        <f t="shared" si="7"/>
        <v>202602</v>
      </c>
      <c r="M191" s="5" t="s">
        <v>446</v>
      </c>
    </row>
    <row r="192" spans="1:13" x14ac:dyDescent="0.25">
      <c r="A192" t="s">
        <v>18</v>
      </c>
      <c r="B192" t="s">
        <v>236</v>
      </c>
      <c r="C192" t="s">
        <v>123</v>
      </c>
      <c r="E192" s="4">
        <v>46028</v>
      </c>
      <c r="F192" s="6">
        <f t="shared" si="7"/>
        <v>202602</v>
      </c>
      <c r="M192" s="5" t="s">
        <v>447</v>
      </c>
    </row>
    <row r="193" spans="1:13" x14ac:dyDescent="0.25">
      <c r="A193" t="s">
        <v>18</v>
      </c>
      <c r="B193" t="s">
        <v>32</v>
      </c>
      <c r="C193" t="s">
        <v>448</v>
      </c>
      <c r="E193" s="2">
        <v>46029</v>
      </c>
      <c r="F193" s="3">
        <f t="shared" si="7"/>
        <v>202602</v>
      </c>
      <c r="M193" s="5" t="s">
        <v>449</v>
      </c>
    </row>
    <row r="194" spans="1:13" x14ac:dyDescent="0.25">
      <c r="A194" t="s">
        <v>11</v>
      </c>
      <c r="B194" t="s">
        <v>44</v>
      </c>
      <c r="C194" t="s">
        <v>450</v>
      </c>
      <c r="E194" s="4">
        <v>46030</v>
      </c>
      <c r="F194" s="6">
        <f t="shared" si="7"/>
        <v>202602</v>
      </c>
      <c r="M194" s="5" t="s">
        <v>451</v>
      </c>
    </row>
    <row r="195" spans="1:13" x14ac:dyDescent="0.25">
      <c r="A195" t="s">
        <v>11</v>
      </c>
      <c r="B195" t="s">
        <v>37</v>
      </c>
      <c r="C195" t="s">
        <v>452</v>
      </c>
      <c r="E195" s="2">
        <v>46031</v>
      </c>
      <c r="F195" s="3">
        <f t="shared" ref="F195:F258" si="9">_xlfn.CONCAT(YEAR(E195),TEXT(WEEKNUM(E195,1),"00"))*1</f>
        <v>202602</v>
      </c>
      <c r="M195" s="5" t="s">
        <v>453</v>
      </c>
    </row>
    <row r="196" spans="1:13" x14ac:dyDescent="0.25">
      <c r="A196" t="s">
        <v>18</v>
      </c>
      <c r="B196" t="s">
        <v>12</v>
      </c>
      <c r="C196" t="s">
        <v>454</v>
      </c>
      <c r="E196" s="4">
        <v>46032</v>
      </c>
      <c r="F196" s="6">
        <f t="shared" si="9"/>
        <v>202602</v>
      </c>
      <c r="M196" s="5" t="s">
        <v>455</v>
      </c>
    </row>
    <row r="197" spans="1:13" x14ac:dyDescent="0.25">
      <c r="A197" t="s">
        <v>18</v>
      </c>
      <c r="B197" t="s">
        <v>44</v>
      </c>
      <c r="C197" t="s">
        <v>456</v>
      </c>
      <c r="E197" s="2">
        <v>46033</v>
      </c>
      <c r="F197" s="3">
        <f t="shared" si="9"/>
        <v>202603</v>
      </c>
      <c r="M197" s="5" t="s">
        <v>457</v>
      </c>
    </row>
    <row r="198" spans="1:13" x14ac:dyDescent="0.25">
      <c r="A198" t="s">
        <v>11</v>
      </c>
      <c r="B198" t="s">
        <v>44</v>
      </c>
      <c r="C198" t="s">
        <v>458</v>
      </c>
      <c r="E198" s="4">
        <v>46034</v>
      </c>
      <c r="F198" s="6">
        <f t="shared" si="9"/>
        <v>202603</v>
      </c>
      <c r="M198" s="5" t="s">
        <v>459</v>
      </c>
    </row>
    <row r="199" spans="1:13" x14ac:dyDescent="0.25">
      <c r="A199" t="s">
        <v>11</v>
      </c>
      <c r="B199" t="s">
        <v>44</v>
      </c>
      <c r="C199" t="s">
        <v>460</v>
      </c>
      <c r="E199" s="2">
        <v>46035</v>
      </c>
      <c r="F199" s="3">
        <f t="shared" si="9"/>
        <v>202603</v>
      </c>
      <c r="M199" s="5" t="s">
        <v>461</v>
      </c>
    </row>
    <row r="200" spans="1:13" x14ac:dyDescent="0.25">
      <c r="A200" t="s">
        <v>11</v>
      </c>
      <c r="B200" t="s">
        <v>119</v>
      </c>
      <c r="C200" t="s">
        <v>462</v>
      </c>
      <c r="E200" s="4">
        <v>46036</v>
      </c>
      <c r="F200" s="6">
        <f t="shared" si="9"/>
        <v>202603</v>
      </c>
      <c r="M200" s="5" t="s">
        <v>463</v>
      </c>
    </row>
    <row r="201" spans="1:13" x14ac:dyDescent="0.25">
      <c r="A201" t="s">
        <v>36</v>
      </c>
      <c r="B201" t="s">
        <v>69</v>
      </c>
      <c r="C201" t="s">
        <v>464</v>
      </c>
      <c r="E201" s="2">
        <v>46037</v>
      </c>
      <c r="F201" s="3">
        <f t="shared" si="9"/>
        <v>202603</v>
      </c>
      <c r="M201" s="5" t="s">
        <v>465</v>
      </c>
    </row>
    <row r="202" spans="1:13" x14ac:dyDescent="0.25">
      <c r="A202" t="s">
        <v>11</v>
      </c>
      <c r="B202" t="s">
        <v>91</v>
      </c>
      <c r="C202" t="s">
        <v>466</v>
      </c>
      <c r="E202" s="4">
        <v>46038</v>
      </c>
      <c r="F202" s="6">
        <f t="shared" si="9"/>
        <v>202603</v>
      </c>
      <c r="M202" s="5" t="s">
        <v>467</v>
      </c>
    </row>
    <row r="203" spans="1:13" x14ac:dyDescent="0.25">
      <c r="A203" t="s">
        <v>36</v>
      </c>
      <c r="B203" t="s">
        <v>32</v>
      </c>
      <c r="C203" t="s">
        <v>468</v>
      </c>
      <c r="E203" s="2">
        <v>46039</v>
      </c>
      <c r="F203" s="3">
        <f t="shared" si="9"/>
        <v>202603</v>
      </c>
    </row>
    <row r="204" spans="1:13" x14ac:dyDescent="0.25">
      <c r="A204" t="s">
        <v>18</v>
      </c>
      <c r="B204" t="s">
        <v>236</v>
      </c>
      <c r="C204" t="s">
        <v>469</v>
      </c>
      <c r="E204" s="4">
        <v>46040</v>
      </c>
      <c r="F204" s="6">
        <f t="shared" si="9"/>
        <v>202604</v>
      </c>
    </row>
    <row r="205" spans="1:13" x14ac:dyDescent="0.25">
      <c r="A205" t="s">
        <v>11</v>
      </c>
      <c r="B205" t="s">
        <v>32</v>
      </c>
      <c r="C205" t="s">
        <v>470</v>
      </c>
      <c r="E205" s="2">
        <v>46041</v>
      </c>
      <c r="F205" s="3">
        <f t="shared" si="9"/>
        <v>202604</v>
      </c>
    </row>
    <row r="206" spans="1:13" x14ac:dyDescent="0.25">
      <c r="A206" t="s">
        <v>11</v>
      </c>
      <c r="B206" t="s">
        <v>59</v>
      </c>
      <c r="C206" t="s">
        <v>471</v>
      </c>
      <c r="E206" s="4">
        <v>46042</v>
      </c>
      <c r="F206" s="6">
        <f t="shared" si="9"/>
        <v>202604</v>
      </c>
    </row>
    <row r="207" spans="1:13" x14ac:dyDescent="0.25">
      <c r="A207" t="s">
        <v>11</v>
      </c>
      <c r="B207" t="s">
        <v>156</v>
      </c>
      <c r="C207" t="s">
        <v>472</v>
      </c>
      <c r="E207" s="2">
        <v>46043</v>
      </c>
      <c r="F207" s="3">
        <f t="shared" si="9"/>
        <v>202604</v>
      </c>
    </row>
    <row r="208" spans="1:13" x14ac:dyDescent="0.25">
      <c r="A208" t="s">
        <v>11</v>
      </c>
      <c r="B208" t="s">
        <v>119</v>
      </c>
      <c r="C208" t="s">
        <v>473</v>
      </c>
      <c r="E208" s="4">
        <v>46044</v>
      </c>
      <c r="F208" s="6">
        <f t="shared" si="9"/>
        <v>202604</v>
      </c>
    </row>
    <row r="209" spans="1:6" x14ac:dyDescent="0.25">
      <c r="A209" t="s">
        <v>36</v>
      </c>
      <c r="B209" t="s">
        <v>12</v>
      </c>
      <c r="C209" t="s">
        <v>474</v>
      </c>
      <c r="E209" s="2">
        <v>46045</v>
      </c>
      <c r="F209" s="3">
        <f t="shared" si="9"/>
        <v>202604</v>
      </c>
    </row>
    <row r="210" spans="1:6" x14ac:dyDescent="0.25">
      <c r="A210" t="s">
        <v>18</v>
      </c>
      <c r="B210" t="s">
        <v>37</v>
      </c>
      <c r="C210" t="s">
        <v>475</v>
      </c>
      <c r="E210" s="4">
        <v>46046</v>
      </c>
      <c r="F210" s="6">
        <f t="shared" si="9"/>
        <v>202604</v>
      </c>
    </row>
    <row r="211" spans="1:6" x14ac:dyDescent="0.25">
      <c r="A211" t="s">
        <v>18</v>
      </c>
      <c r="B211" t="s">
        <v>44</v>
      </c>
      <c r="C211" t="s">
        <v>476</v>
      </c>
      <c r="E211" s="2">
        <v>46047</v>
      </c>
      <c r="F211" s="3">
        <f t="shared" si="9"/>
        <v>202605</v>
      </c>
    </row>
    <row r="212" spans="1:6" x14ac:dyDescent="0.25">
      <c r="A212" t="s">
        <v>36</v>
      </c>
      <c r="B212" t="s">
        <v>44</v>
      </c>
      <c r="C212" t="s">
        <v>477</v>
      </c>
      <c r="E212" s="4">
        <v>46048</v>
      </c>
      <c r="F212" s="6">
        <f t="shared" si="9"/>
        <v>202605</v>
      </c>
    </row>
    <row r="213" spans="1:6" x14ac:dyDescent="0.25">
      <c r="A213" t="s">
        <v>11</v>
      </c>
      <c r="B213" t="s">
        <v>32</v>
      </c>
      <c r="C213" t="s">
        <v>478</v>
      </c>
      <c r="E213" s="2">
        <v>46049</v>
      </c>
      <c r="F213" s="3">
        <f t="shared" si="9"/>
        <v>202605</v>
      </c>
    </row>
    <row r="214" spans="1:6" x14ac:dyDescent="0.25">
      <c r="A214" t="s">
        <v>36</v>
      </c>
      <c r="B214" t="s">
        <v>37</v>
      </c>
      <c r="C214" t="s">
        <v>479</v>
      </c>
      <c r="E214" s="4">
        <v>46050</v>
      </c>
      <c r="F214" s="6">
        <f t="shared" si="9"/>
        <v>202605</v>
      </c>
    </row>
    <row r="215" spans="1:6" x14ac:dyDescent="0.25">
      <c r="A215" t="s">
        <v>18</v>
      </c>
      <c r="B215" t="s">
        <v>44</v>
      </c>
      <c r="C215" t="s">
        <v>480</v>
      </c>
      <c r="E215" s="2">
        <v>46051</v>
      </c>
      <c r="F215" s="3">
        <f t="shared" si="9"/>
        <v>202605</v>
      </c>
    </row>
    <row r="216" spans="1:6" x14ac:dyDescent="0.25">
      <c r="A216" t="s">
        <v>18</v>
      </c>
      <c r="B216" t="s">
        <v>32</v>
      </c>
      <c r="C216" t="s">
        <v>481</v>
      </c>
      <c r="E216" s="4">
        <v>46052</v>
      </c>
      <c r="F216" s="6">
        <f t="shared" si="9"/>
        <v>202605</v>
      </c>
    </row>
    <row r="217" spans="1:6" x14ac:dyDescent="0.25">
      <c r="A217" t="s">
        <v>36</v>
      </c>
      <c r="B217" t="s">
        <v>49</v>
      </c>
      <c r="C217" t="s">
        <v>482</v>
      </c>
      <c r="E217" s="2">
        <v>46053</v>
      </c>
      <c r="F217" s="3">
        <f t="shared" si="9"/>
        <v>202605</v>
      </c>
    </row>
    <row r="218" spans="1:6" x14ac:dyDescent="0.25">
      <c r="A218" t="s">
        <v>36</v>
      </c>
      <c r="B218" t="s">
        <v>119</v>
      </c>
      <c r="C218" t="s">
        <v>483</v>
      </c>
      <c r="E218" s="4">
        <v>46054</v>
      </c>
      <c r="F218" s="6">
        <f t="shared" si="9"/>
        <v>202606</v>
      </c>
    </row>
    <row r="219" spans="1:6" x14ac:dyDescent="0.25">
      <c r="A219" t="s">
        <v>36</v>
      </c>
      <c r="B219" t="s">
        <v>12</v>
      </c>
      <c r="C219" t="s">
        <v>484</v>
      </c>
      <c r="E219" s="2">
        <v>46055</v>
      </c>
      <c r="F219" s="3">
        <f t="shared" si="9"/>
        <v>202606</v>
      </c>
    </row>
    <row r="220" spans="1:6" x14ac:dyDescent="0.25">
      <c r="A220" t="s">
        <v>11</v>
      </c>
      <c r="B220" t="s">
        <v>180</v>
      </c>
      <c r="C220" t="s">
        <v>485</v>
      </c>
      <c r="E220" s="4">
        <v>46056</v>
      </c>
      <c r="F220" s="6">
        <f t="shared" si="9"/>
        <v>202606</v>
      </c>
    </row>
    <row r="221" spans="1:6" x14ac:dyDescent="0.25">
      <c r="A221" t="s">
        <v>18</v>
      </c>
      <c r="B221" t="s">
        <v>44</v>
      </c>
      <c r="C221" t="s">
        <v>486</v>
      </c>
      <c r="E221" s="2">
        <v>46057</v>
      </c>
      <c r="F221" s="3">
        <f t="shared" si="9"/>
        <v>202606</v>
      </c>
    </row>
    <row r="222" spans="1:6" x14ac:dyDescent="0.25">
      <c r="A222" t="s">
        <v>11</v>
      </c>
      <c r="B222" t="s">
        <v>59</v>
      </c>
      <c r="C222" t="s">
        <v>487</v>
      </c>
      <c r="E222" s="4">
        <v>46058</v>
      </c>
      <c r="F222" s="6">
        <f t="shared" si="9"/>
        <v>202606</v>
      </c>
    </row>
    <row r="223" spans="1:6" x14ac:dyDescent="0.25">
      <c r="A223" t="s">
        <v>18</v>
      </c>
      <c r="B223" t="s">
        <v>32</v>
      </c>
      <c r="C223" t="s">
        <v>488</v>
      </c>
      <c r="E223" s="2">
        <v>46059</v>
      </c>
      <c r="F223" s="3">
        <f t="shared" si="9"/>
        <v>202606</v>
      </c>
    </row>
    <row r="224" spans="1:6" x14ac:dyDescent="0.25">
      <c r="A224" t="s">
        <v>36</v>
      </c>
      <c r="B224" t="s">
        <v>59</v>
      </c>
      <c r="C224" t="s">
        <v>489</v>
      </c>
      <c r="E224" s="4">
        <v>46060</v>
      </c>
      <c r="F224" s="6">
        <f t="shared" si="9"/>
        <v>202606</v>
      </c>
    </row>
    <row r="225" spans="1:6" x14ac:dyDescent="0.25">
      <c r="A225" t="s">
        <v>36</v>
      </c>
      <c r="B225" t="s">
        <v>37</v>
      </c>
      <c r="C225" t="s">
        <v>490</v>
      </c>
      <c r="E225" s="2">
        <v>46061</v>
      </c>
      <c r="F225" s="3">
        <f t="shared" si="9"/>
        <v>202607</v>
      </c>
    </row>
    <row r="226" spans="1:6" x14ac:dyDescent="0.25">
      <c r="A226" t="s">
        <v>11</v>
      </c>
      <c r="B226" t="s">
        <v>59</v>
      </c>
      <c r="C226" t="s">
        <v>491</v>
      </c>
      <c r="E226" s="4">
        <v>46062</v>
      </c>
      <c r="F226" s="6">
        <f t="shared" si="9"/>
        <v>202607</v>
      </c>
    </row>
    <row r="227" spans="1:6" x14ac:dyDescent="0.25">
      <c r="A227" t="s">
        <v>18</v>
      </c>
      <c r="B227" t="s">
        <v>119</v>
      </c>
      <c r="C227" t="s">
        <v>492</v>
      </c>
      <c r="E227" s="2">
        <v>46063</v>
      </c>
      <c r="F227" s="3">
        <f t="shared" si="9"/>
        <v>202607</v>
      </c>
    </row>
    <row r="228" spans="1:6" x14ac:dyDescent="0.25">
      <c r="A228" t="s">
        <v>11</v>
      </c>
      <c r="B228" t="s">
        <v>44</v>
      </c>
      <c r="C228" t="s">
        <v>493</v>
      </c>
      <c r="E228" s="4">
        <v>46064</v>
      </c>
      <c r="F228" s="6">
        <f t="shared" si="9"/>
        <v>202607</v>
      </c>
    </row>
    <row r="229" spans="1:6" x14ac:dyDescent="0.25">
      <c r="A229" t="s">
        <v>18</v>
      </c>
      <c r="B229" t="s">
        <v>59</v>
      </c>
      <c r="C229" t="s">
        <v>494</v>
      </c>
      <c r="E229" s="2">
        <v>46065</v>
      </c>
      <c r="F229" s="3">
        <f t="shared" si="9"/>
        <v>202607</v>
      </c>
    </row>
    <row r="230" spans="1:6" x14ac:dyDescent="0.25">
      <c r="A230" t="s">
        <v>36</v>
      </c>
      <c r="B230" t="s">
        <v>37</v>
      </c>
      <c r="C230" t="s">
        <v>495</v>
      </c>
      <c r="E230" s="4">
        <v>46066</v>
      </c>
      <c r="F230" s="6">
        <f t="shared" si="9"/>
        <v>202607</v>
      </c>
    </row>
    <row r="231" spans="1:6" x14ac:dyDescent="0.25">
      <c r="A231" t="s">
        <v>36</v>
      </c>
      <c r="B231" t="s">
        <v>37</v>
      </c>
      <c r="C231" t="s">
        <v>496</v>
      </c>
      <c r="E231" s="2">
        <v>46067</v>
      </c>
      <c r="F231" s="3">
        <f t="shared" si="9"/>
        <v>202607</v>
      </c>
    </row>
    <row r="232" spans="1:6" x14ac:dyDescent="0.25">
      <c r="A232" t="s">
        <v>36</v>
      </c>
      <c r="B232" t="s">
        <v>37</v>
      </c>
      <c r="C232" t="s">
        <v>497</v>
      </c>
      <c r="E232" s="4">
        <v>46068</v>
      </c>
      <c r="F232" s="6">
        <f t="shared" si="9"/>
        <v>202608</v>
      </c>
    </row>
    <row r="233" spans="1:6" x14ac:dyDescent="0.25">
      <c r="A233" t="s">
        <v>18</v>
      </c>
      <c r="B233" t="s">
        <v>119</v>
      </c>
      <c r="C233" t="s">
        <v>498</v>
      </c>
      <c r="E233" s="2">
        <v>46069</v>
      </c>
      <c r="F233" s="3">
        <f t="shared" si="9"/>
        <v>202608</v>
      </c>
    </row>
    <row r="234" spans="1:6" x14ac:dyDescent="0.25">
      <c r="A234" t="s">
        <v>11</v>
      </c>
      <c r="B234" t="s">
        <v>236</v>
      </c>
      <c r="C234" t="s">
        <v>499</v>
      </c>
      <c r="E234" s="4">
        <v>46070</v>
      </c>
      <c r="F234" s="6">
        <f t="shared" si="9"/>
        <v>202608</v>
      </c>
    </row>
    <row r="235" spans="1:6" x14ac:dyDescent="0.25">
      <c r="A235" t="s">
        <v>36</v>
      </c>
      <c r="B235" t="s">
        <v>119</v>
      </c>
      <c r="C235" t="s">
        <v>500</v>
      </c>
      <c r="E235" s="2">
        <v>46071</v>
      </c>
      <c r="F235" s="3">
        <f t="shared" si="9"/>
        <v>202608</v>
      </c>
    </row>
    <row r="236" spans="1:6" x14ac:dyDescent="0.25">
      <c r="A236" t="s">
        <v>36</v>
      </c>
      <c r="B236" t="s">
        <v>12</v>
      </c>
      <c r="C236" t="s">
        <v>501</v>
      </c>
      <c r="E236" s="4">
        <v>46072</v>
      </c>
      <c r="F236" s="6">
        <f t="shared" si="9"/>
        <v>202608</v>
      </c>
    </row>
    <row r="237" spans="1:6" x14ac:dyDescent="0.25">
      <c r="A237" t="s">
        <v>36</v>
      </c>
      <c r="B237" t="s">
        <v>32</v>
      </c>
      <c r="C237" t="s">
        <v>502</v>
      </c>
      <c r="E237" s="2">
        <v>46073</v>
      </c>
      <c r="F237" s="3">
        <f t="shared" si="9"/>
        <v>202608</v>
      </c>
    </row>
    <row r="238" spans="1:6" x14ac:dyDescent="0.25">
      <c r="A238" t="s">
        <v>11</v>
      </c>
      <c r="B238" t="s">
        <v>37</v>
      </c>
      <c r="C238" t="s">
        <v>503</v>
      </c>
      <c r="E238" s="4">
        <v>46074</v>
      </c>
      <c r="F238" s="6">
        <f t="shared" si="9"/>
        <v>202608</v>
      </c>
    </row>
    <row r="239" spans="1:6" x14ac:dyDescent="0.25">
      <c r="A239" t="s">
        <v>11</v>
      </c>
      <c r="B239" t="s">
        <v>12</v>
      </c>
      <c r="C239" t="s">
        <v>504</v>
      </c>
      <c r="E239" s="2">
        <v>46075</v>
      </c>
      <c r="F239" s="3">
        <f t="shared" si="9"/>
        <v>202609</v>
      </c>
    </row>
    <row r="240" spans="1:6" x14ac:dyDescent="0.25">
      <c r="A240" t="s">
        <v>11</v>
      </c>
      <c r="B240" t="s">
        <v>44</v>
      </c>
      <c r="C240" t="s">
        <v>505</v>
      </c>
      <c r="E240" s="4">
        <v>46076</v>
      </c>
      <c r="F240" s="6">
        <f t="shared" si="9"/>
        <v>202609</v>
      </c>
    </row>
    <row r="241" spans="1:6" x14ac:dyDescent="0.25">
      <c r="A241" t="s">
        <v>11</v>
      </c>
      <c r="B241" t="s">
        <v>37</v>
      </c>
      <c r="C241" t="s">
        <v>506</v>
      </c>
      <c r="E241" s="2">
        <v>46077</v>
      </c>
      <c r="F241" s="3">
        <f t="shared" si="9"/>
        <v>202609</v>
      </c>
    </row>
    <row r="242" spans="1:6" x14ac:dyDescent="0.25">
      <c r="A242" t="s">
        <v>11</v>
      </c>
      <c r="B242" t="s">
        <v>59</v>
      </c>
      <c r="C242" t="s">
        <v>507</v>
      </c>
      <c r="E242" s="4">
        <v>46078</v>
      </c>
      <c r="F242" s="6">
        <f t="shared" si="9"/>
        <v>202609</v>
      </c>
    </row>
    <row r="243" spans="1:6" x14ac:dyDescent="0.25">
      <c r="A243" t="s">
        <v>11</v>
      </c>
      <c r="B243" t="s">
        <v>119</v>
      </c>
      <c r="C243" t="s">
        <v>508</v>
      </c>
      <c r="E243" s="2">
        <v>46079</v>
      </c>
      <c r="F243" s="3">
        <f t="shared" si="9"/>
        <v>202609</v>
      </c>
    </row>
    <row r="244" spans="1:6" x14ac:dyDescent="0.25">
      <c r="A244" t="s">
        <v>36</v>
      </c>
      <c r="B244" t="s">
        <v>12</v>
      </c>
      <c r="C244" t="s">
        <v>509</v>
      </c>
      <c r="E244" s="4">
        <v>46080</v>
      </c>
      <c r="F244" s="6">
        <f t="shared" si="9"/>
        <v>202609</v>
      </c>
    </row>
    <row r="245" spans="1:6" x14ac:dyDescent="0.25">
      <c r="A245" t="s">
        <v>18</v>
      </c>
      <c r="B245" t="s">
        <v>49</v>
      </c>
      <c r="C245" t="s">
        <v>510</v>
      </c>
      <c r="E245" s="2">
        <v>46081</v>
      </c>
      <c r="F245" s="3">
        <f t="shared" si="9"/>
        <v>202609</v>
      </c>
    </row>
    <row r="246" spans="1:6" x14ac:dyDescent="0.25">
      <c r="A246" t="s">
        <v>36</v>
      </c>
      <c r="B246" t="s">
        <v>44</v>
      </c>
      <c r="C246" t="s">
        <v>511</v>
      </c>
      <c r="E246" s="4">
        <v>46082</v>
      </c>
      <c r="F246" s="6">
        <f t="shared" si="9"/>
        <v>202610</v>
      </c>
    </row>
    <row r="247" spans="1:6" x14ac:dyDescent="0.25">
      <c r="A247" t="s">
        <v>36</v>
      </c>
      <c r="B247" t="s">
        <v>32</v>
      </c>
      <c r="C247" t="s">
        <v>512</v>
      </c>
      <c r="E247" s="2">
        <v>46083</v>
      </c>
      <c r="F247" s="3">
        <f t="shared" si="9"/>
        <v>202610</v>
      </c>
    </row>
    <row r="248" spans="1:6" x14ac:dyDescent="0.25">
      <c r="A248" t="s">
        <v>11</v>
      </c>
      <c r="B248" t="s">
        <v>37</v>
      </c>
      <c r="C248" t="s">
        <v>513</v>
      </c>
      <c r="E248" s="4">
        <v>46084</v>
      </c>
      <c r="F248" s="6">
        <f t="shared" si="9"/>
        <v>202610</v>
      </c>
    </row>
    <row r="249" spans="1:6" x14ac:dyDescent="0.25">
      <c r="A249" t="s">
        <v>11</v>
      </c>
      <c r="B249" t="s">
        <v>32</v>
      </c>
      <c r="C249" t="s">
        <v>514</v>
      </c>
      <c r="E249" s="2">
        <v>46085</v>
      </c>
      <c r="F249" s="3">
        <f t="shared" si="9"/>
        <v>202610</v>
      </c>
    </row>
    <row r="250" spans="1:6" x14ac:dyDescent="0.25">
      <c r="A250" t="s">
        <v>36</v>
      </c>
      <c r="B250" t="s">
        <v>32</v>
      </c>
      <c r="C250" t="s">
        <v>515</v>
      </c>
      <c r="E250" s="4">
        <v>46086</v>
      </c>
      <c r="F250" s="6">
        <f t="shared" si="9"/>
        <v>202610</v>
      </c>
    </row>
    <row r="251" spans="1:6" x14ac:dyDescent="0.25">
      <c r="A251" t="s">
        <v>36</v>
      </c>
      <c r="B251" t="s">
        <v>12</v>
      </c>
      <c r="C251" t="s">
        <v>516</v>
      </c>
      <c r="E251" s="2">
        <v>46087</v>
      </c>
      <c r="F251" s="3">
        <f t="shared" si="9"/>
        <v>202610</v>
      </c>
    </row>
    <row r="252" spans="1:6" x14ac:dyDescent="0.25">
      <c r="A252" t="s">
        <v>11</v>
      </c>
      <c r="B252" t="s">
        <v>119</v>
      </c>
      <c r="C252" t="s">
        <v>517</v>
      </c>
      <c r="E252" s="4">
        <v>46088</v>
      </c>
      <c r="F252" s="6">
        <f t="shared" si="9"/>
        <v>202610</v>
      </c>
    </row>
    <row r="253" spans="1:6" x14ac:dyDescent="0.25">
      <c r="A253" t="s">
        <v>18</v>
      </c>
      <c r="B253" t="s">
        <v>37</v>
      </c>
      <c r="C253" t="s">
        <v>518</v>
      </c>
      <c r="E253" s="2">
        <v>46089</v>
      </c>
      <c r="F253" s="3">
        <f t="shared" si="9"/>
        <v>202611</v>
      </c>
    </row>
    <row r="254" spans="1:6" x14ac:dyDescent="0.25">
      <c r="A254" t="s">
        <v>18</v>
      </c>
      <c r="B254" t="s">
        <v>119</v>
      </c>
      <c r="C254" t="s">
        <v>519</v>
      </c>
      <c r="E254" s="4">
        <v>46090</v>
      </c>
      <c r="F254" s="6">
        <f t="shared" si="9"/>
        <v>202611</v>
      </c>
    </row>
    <row r="255" spans="1:6" x14ac:dyDescent="0.25">
      <c r="A255" t="s">
        <v>18</v>
      </c>
      <c r="B255" t="s">
        <v>44</v>
      </c>
      <c r="C255" t="s">
        <v>520</v>
      </c>
      <c r="E255" s="2">
        <v>46091</v>
      </c>
      <c r="F255" s="3">
        <f t="shared" si="9"/>
        <v>202611</v>
      </c>
    </row>
    <row r="256" spans="1:6" x14ac:dyDescent="0.25">
      <c r="A256" t="s">
        <v>11</v>
      </c>
      <c r="B256" t="s">
        <v>119</v>
      </c>
      <c r="C256" t="s">
        <v>521</v>
      </c>
      <c r="E256" s="4">
        <v>46092</v>
      </c>
      <c r="F256" s="6">
        <f t="shared" si="9"/>
        <v>202611</v>
      </c>
    </row>
    <row r="257" spans="1:6" x14ac:dyDescent="0.25">
      <c r="A257" t="s">
        <v>18</v>
      </c>
      <c r="B257" t="s">
        <v>119</v>
      </c>
      <c r="C257" t="s">
        <v>522</v>
      </c>
      <c r="E257" s="2">
        <v>46093</v>
      </c>
      <c r="F257" s="3">
        <f t="shared" si="9"/>
        <v>202611</v>
      </c>
    </row>
    <row r="258" spans="1:6" x14ac:dyDescent="0.25">
      <c r="A258" t="s">
        <v>11</v>
      </c>
      <c r="B258" t="s">
        <v>37</v>
      </c>
      <c r="C258" t="s">
        <v>523</v>
      </c>
      <c r="E258" s="4">
        <v>46094</v>
      </c>
      <c r="F258" s="6">
        <f t="shared" si="9"/>
        <v>202611</v>
      </c>
    </row>
    <row r="259" spans="1:6" x14ac:dyDescent="0.25">
      <c r="A259" t="s">
        <v>11</v>
      </c>
      <c r="B259" t="s">
        <v>236</v>
      </c>
      <c r="C259" t="s">
        <v>524</v>
      </c>
      <c r="E259" s="2">
        <v>46095</v>
      </c>
      <c r="F259" s="3">
        <f t="shared" ref="F259:F322" si="10">_xlfn.CONCAT(YEAR(E259),TEXT(WEEKNUM(E259,1),"00"))*1</f>
        <v>202611</v>
      </c>
    </row>
    <row r="260" spans="1:6" x14ac:dyDescent="0.25">
      <c r="A260" t="s">
        <v>18</v>
      </c>
      <c r="B260" t="s">
        <v>236</v>
      </c>
      <c r="C260" t="s">
        <v>525</v>
      </c>
      <c r="E260" s="4">
        <v>46096</v>
      </c>
      <c r="F260" s="6">
        <f t="shared" si="10"/>
        <v>202612</v>
      </c>
    </row>
    <row r="261" spans="1:6" x14ac:dyDescent="0.25">
      <c r="A261" t="s">
        <v>18</v>
      </c>
      <c r="B261" t="s">
        <v>12</v>
      </c>
      <c r="C261" t="s">
        <v>526</v>
      </c>
      <c r="E261" s="2">
        <v>46097</v>
      </c>
      <c r="F261" s="3">
        <f t="shared" si="10"/>
        <v>202612</v>
      </c>
    </row>
    <row r="262" spans="1:6" x14ac:dyDescent="0.25">
      <c r="A262" t="s">
        <v>18</v>
      </c>
      <c r="B262" t="s">
        <v>49</v>
      </c>
      <c r="C262" t="s">
        <v>527</v>
      </c>
      <c r="E262" s="4">
        <v>46098</v>
      </c>
      <c r="F262" s="6">
        <f t="shared" si="10"/>
        <v>202612</v>
      </c>
    </row>
    <row r="263" spans="1:6" x14ac:dyDescent="0.25">
      <c r="A263" t="s">
        <v>11</v>
      </c>
      <c r="B263" t="s">
        <v>32</v>
      </c>
      <c r="C263" t="s">
        <v>528</v>
      </c>
      <c r="E263" s="2">
        <v>46099</v>
      </c>
      <c r="F263" s="3">
        <f t="shared" si="10"/>
        <v>202612</v>
      </c>
    </row>
    <row r="264" spans="1:6" x14ac:dyDescent="0.25">
      <c r="A264" t="s">
        <v>11</v>
      </c>
      <c r="B264" t="s">
        <v>32</v>
      </c>
      <c r="C264" t="s">
        <v>529</v>
      </c>
      <c r="E264" s="4">
        <v>46100</v>
      </c>
      <c r="F264" s="6">
        <f t="shared" si="10"/>
        <v>202612</v>
      </c>
    </row>
    <row r="265" spans="1:6" x14ac:dyDescent="0.25">
      <c r="A265" t="s">
        <v>36</v>
      </c>
      <c r="B265" t="s">
        <v>37</v>
      </c>
      <c r="C265" t="s">
        <v>530</v>
      </c>
      <c r="E265" s="2">
        <v>46101</v>
      </c>
      <c r="F265" s="3">
        <f t="shared" si="10"/>
        <v>202612</v>
      </c>
    </row>
    <row r="266" spans="1:6" x14ac:dyDescent="0.25">
      <c r="A266" t="s">
        <v>18</v>
      </c>
      <c r="B266" t="s">
        <v>37</v>
      </c>
      <c r="C266" t="s">
        <v>531</v>
      </c>
      <c r="E266" s="4">
        <v>46102</v>
      </c>
      <c r="F266" s="6">
        <f t="shared" si="10"/>
        <v>202612</v>
      </c>
    </row>
    <row r="267" spans="1:6" x14ac:dyDescent="0.25">
      <c r="A267" t="s">
        <v>11</v>
      </c>
      <c r="B267" t="s">
        <v>37</v>
      </c>
      <c r="C267" t="s">
        <v>532</v>
      </c>
      <c r="E267" s="2">
        <v>46103</v>
      </c>
      <c r="F267" s="3">
        <f t="shared" si="10"/>
        <v>202613</v>
      </c>
    </row>
    <row r="268" spans="1:6" x14ac:dyDescent="0.25">
      <c r="A268" t="s">
        <v>36</v>
      </c>
      <c r="B268" t="s">
        <v>12</v>
      </c>
      <c r="C268" t="s">
        <v>533</v>
      </c>
      <c r="E268" s="4">
        <v>46104</v>
      </c>
      <c r="F268" s="6">
        <f t="shared" si="10"/>
        <v>202613</v>
      </c>
    </row>
    <row r="269" spans="1:6" x14ac:dyDescent="0.25">
      <c r="A269" t="s">
        <v>36</v>
      </c>
      <c r="B269" t="s">
        <v>37</v>
      </c>
      <c r="C269" t="s">
        <v>534</v>
      </c>
      <c r="E269" s="2">
        <v>46105</v>
      </c>
      <c r="F269" s="3">
        <f t="shared" si="10"/>
        <v>202613</v>
      </c>
    </row>
    <row r="270" spans="1:6" x14ac:dyDescent="0.25">
      <c r="A270" t="s">
        <v>36</v>
      </c>
      <c r="B270" t="s">
        <v>44</v>
      </c>
      <c r="C270" t="s">
        <v>535</v>
      </c>
      <c r="E270" s="4">
        <v>46106</v>
      </c>
      <c r="F270" s="6">
        <f t="shared" si="10"/>
        <v>202613</v>
      </c>
    </row>
    <row r="271" spans="1:6" x14ac:dyDescent="0.25">
      <c r="A271" t="s">
        <v>11</v>
      </c>
      <c r="B271" t="s">
        <v>37</v>
      </c>
      <c r="C271" t="s">
        <v>536</v>
      </c>
      <c r="E271" s="2">
        <v>46107</v>
      </c>
      <c r="F271" s="3">
        <f t="shared" si="10"/>
        <v>202613</v>
      </c>
    </row>
    <row r="272" spans="1:6" x14ac:dyDescent="0.25">
      <c r="A272" t="s">
        <v>11</v>
      </c>
      <c r="B272" t="s">
        <v>227</v>
      </c>
      <c r="C272" t="s">
        <v>537</v>
      </c>
      <c r="E272" s="4">
        <v>46108</v>
      </c>
      <c r="F272" s="6">
        <f t="shared" si="10"/>
        <v>202613</v>
      </c>
    </row>
    <row r="273" spans="1:6" x14ac:dyDescent="0.25">
      <c r="A273" t="s">
        <v>11</v>
      </c>
      <c r="B273" t="s">
        <v>37</v>
      </c>
      <c r="C273" t="s">
        <v>538</v>
      </c>
      <c r="E273" s="2">
        <v>46109</v>
      </c>
      <c r="F273" s="3">
        <f t="shared" si="10"/>
        <v>202613</v>
      </c>
    </row>
    <row r="274" spans="1:6" x14ac:dyDescent="0.25">
      <c r="A274" t="s">
        <v>11</v>
      </c>
      <c r="B274" t="s">
        <v>37</v>
      </c>
      <c r="C274" t="s">
        <v>539</v>
      </c>
      <c r="E274" s="4">
        <v>46110</v>
      </c>
      <c r="F274" s="6">
        <f t="shared" si="10"/>
        <v>202614</v>
      </c>
    </row>
    <row r="275" spans="1:6" x14ac:dyDescent="0.25">
      <c r="A275" t="s">
        <v>11</v>
      </c>
      <c r="B275" t="s">
        <v>119</v>
      </c>
      <c r="C275" t="s">
        <v>540</v>
      </c>
      <c r="E275" s="2">
        <v>46111</v>
      </c>
      <c r="F275" s="3">
        <f t="shared" si="10"/>
        <v>202614</v>
      </c>
    </row>
    <row r="276" spans="1:6" x14ac:dyDescent="0.25">
      <c r="A276" t="s">
        <v>11</v>
      </c>
      <c r="B276" t="s">
        <v>12</v>
      </c>
      <c r="C276" t="s">
        <v>541</v>
      </c>
      <c r="E276" s="4">
        <v>46112</v>
      </c>
      <c r="F276" s="6">
        <f t="shared" si="10"/>
        <v>202614</v>
      </c>
    </row>
    <row r="277" spans="1:6" x14ac:dyDescent="0.25">
      <c r="A277" t="s">
        <v>11</v>
      </c>
      <c r="B277" t="s">
        <v>135</v>
      </c>
      <c r="C277" t="s">
        <v>542</v>
      </c>
      <c r="E277" s="2">
        <v>46113</v>
      </c>
      <c r="F277" s="3">
        <f t="shared" si="10"/>
        <v>202614</v>
      </c>
    </row>
    <row r="278" spans="1:6" x14ac:dyDescent="0.25">
      <c r="A278" t="s">
        <v>36</v>
      </c>
      <c r="B278" t="s">
        <v>37</v>
      </c>
      <c r="C278" t="s">
        <v>543</v>
      </c>
      <c r="E278" s="4">
        <v>46114</v>
      </c>
      <c r="F278" s="6">
        <f t="shared" si="10"/>
        <v>202614</v>
      </c>
    </row>
    <row r="279" spans="1:6" x14ac:dyDescent="0.25">
      <c r="A279" t="s">
        <v>36</v>
      </c>
      <c r="B279" t="s">
        <v>32</v>
      </c>
      <c r="C279" t="s">
        <v>544</v>
      </c>
      <c r="E279" s="2">
        <v>46115</v>
      </c>
      <c r="F279" s="3">
        <f t="shared" si="10"/>
        <v>202614</v>
      </c>
    </row>
    <row r="280" spans="1:6" x14ac:dyDescent="0.25">
      <c r="A280" t="s">
        <v>36</v>
      </c>
      <c r="B280" t="s">
        <v>12</v>
      </c>
      <c r="C280" t="s">
        <v>545</v>
      </c>
      <c r="E280" s="4">
        <v>46116</v>
      </c>
      <c r="F280" s="6">
        <f t="shared" si="10"/>
        <v>202614</v>
      </c>
    </row>
    <row r="281" spans="1:6" x14ac:dyDescent="0.25">
      <c r="A281" t="s">
        <v>18</v>
      </c>
      <c r="B281" t="s">
        <v>12</v>
      </c>
      <c r="C281" t="s">
        <v>546</v>
      </c>
      <c r="E281" s="2">
        <v>46117</v>
      </c>
      <c r="F281" s="3">
        <f t="shared" si="10"/>
        <v>202615</v>
      </c>
    </row>
    <row r="282" spans="1:6" x14ac:dyDescent="0.25">
      <c r="A282" t="s">
        <v>18</v>
      </c>
      <c r="B282" t="s">
        <v>59</v>
      </c>
      <c r="C282" t="s">
        <v>547</v>
      </c>
      <c r="E282" s="4">
        <v>46118</v>
      </c>
      <c r="F282" s="6">
        <f t="shared" si="10"/>
        <v>202615</v>
      </c>
    </row>
    <row r="283" spans="1:6" x14ac:dyDescent="0.25">
      <c r="A283" t="s">
        <v>11</v>
      </c>
      <c r="B283" t="s">
        <v>91</v>
      </c>
      <c r="C283" t="s">
        <v>548</v>
      </c>
      <c r="E283" s="2">
        <v>46119</v>
      </c>
      <c r="F283" s="3">
        <f t="shared" si="10"/>
        <v>202615</v>
      </c>
    </row>
    <row r="284" spans="1:6" x14ac:dyDescent="0.25">
      <c r="A284" t="s">
        <v>11</v>
      </c>
      <c r="B284" t="s">
        <v>44</v>
      </c>
      <c r="C284" t="s">
        <v>549</v>
      </c>
      <c r="E284" s="4">
        <v>46120</v>
      </c>
      <c r="F284" s="6">
        <f t="shared" si="10"/>
        <v>202615</v>
      </c>
    </row>
    <row r="285" spans="1:6" x14ac:dyDescent="0.25">
      <c r="A285" t="s">
        <v>11</v>
      </c>
      <c r="B285" t="s">
        <v>44</v>
      </c>
      <c r="C285" t="s">
        <v>550</v>
      </c>
      <c r="E285" s="2">
        <v>46121</v>
      </c>
      <c r="F285" s="3">
        <f t="shared" si="10"/>
        <v>202615</v>
      </c>
    </row>
    <row r="286" spans="1:6" x14ac:dyDescent="0.25">
      <c r="A286" t="s">
        <v>18</v>
      </c>
      <c r="B286" t="s">
        <v>37</v>
      </c>
      <c r="C286" t="s">
        <v>551</v>
      </c>
      <c r="E286" s="4">
        <v>46122</v>
      </c>
      <c r="F286" s="6">
        <f t="shared" si="10"/>
        <v>202615</v>
      </c>
    </row>
    <row r="287" spans="1:6" x14ac:dyDescent="0.25">
      <c r="A287" t="s">
        <v>36</v>
      </c>
      <c r="B287" t="s">
        <v>37</v>
      </c>
      <c r="C287" t="s">
        <v>552</v>
      </c>
      <c r="E287" s="2">
        <v>46123</v>
      </c>
      <c r="F287" s="3">
        <f t="shared" si="10"/>
        <v>202615</v>
      </c>
    </row>
    <row r="288" spans="1:6" x14ac:dyDescent="0.25">
      <c r="A288" t="s">
        <v>18</v>
      </c>
      <c r="B288" t="s">
        <v>37</v>
      </c>
      <c r="C288" t="s">
        <v>553</v>
      </c>
      <c r="E288" s="4">
        <v>46124</v>
      </c>
      <c r="F288" s="6">
        <f t="shared" si="10"/>
        <v>202616</v>
      </c>
    </row>
    <row r="289" spans="1:6" x14ac:dyDescent="0.25">
      <c r="A289" t="s">
        <v>18</v>
      </c>
      <c r="B289" t="s">
        <v>119</v>
      </c>
      <c r="C289" t="s">
        <v>554</v>
      </c>
      <c r="E289" s="2">
        <v>46125</v>
      </c>
      <c r="F289" s="3">
        <f t="shared" si="10"/>
        <v>202616</v>
      </c>
    </row>
    <row r="290" spans="1:6" x14ac:dyDescent="0.25">
      <c r="A290" t="s">
        <v>18</v>
      </c>
      <c r="B290" t="s">
        <v>44</v>
      </c>
      <c r="C290" t="s">
        <v>555</v>
      </c>
      <c r="E290" s="4">
        <v>46126</v>
      </c>
      <c r="F290" s="6">
        <f t="shared" si="10"/>
        <v>202616</v>
      </c>
    </row>
    <row r="291" spans="1:6" x14ac:dyDescent="0.25">
      <c r="A291" t="s">
        <v>11</v>
      </c>
      <c r="B291" t="s">
        <v>59</v>
      </c>
      <c r="C291" t="s">
        <v>556</v>
      </c>
      <c r="E291" s="2">
        <v>46127</v>
      </c>
      <c r="F291" s="3">
        <f t="shared" si="10"/>
        <v>202616</v>
      </c>
    </row>
    <row r="292" spans="1:6" x14ac:dyDescent="0.25">
      <c r="A292" t="s">
        <v>36</v>
      </c>
      <c r="B292" t="s">
        <v>12</v>
      </c>
      <c r="C292" t="s">
        <v>557</v>
      </c>
      <c r="E292" s="4">
        <v>46128</v>
      </c>
      <c r="F292" s="6">
        <f t="shared" si="10"/>
        <v>202616</v>
      </c>
    </row>
    <row r="293" spans="1:6" x14ac:dyDescent="0.25">
      <c r="A293" t="s">
        <v>36</v>
      </c>
      <c r="B293" t="s">
        <v>12</v>
      </c>
      <c r="C293" t="s">
        <v>558</v>
      </c>
      <c r="E293" s="2">
        <v>46129</v>
      </c>
      <c r="F293" s="3">
        <f t="shared" si="10"/>
        <v>202616</v>
      </c>
    </row>
    <row r="294" spans="1:6" x14ac:dyDescent="0.25">
      <c r="A294" t="s">
        <v>18</v>
      </c>
      <c r="B294" t="s">
        <v>119</v>
      </c>
      <c r="C294" t="s">
        <v>559</v>
      </c>
      <c r="E294" s="4">
        <v>46130</v>
      </c>
      <c r="F294" s="6">
        <f t="shared" si="10"/>
        <v>202616</v>
      </c>
    </row>
    <row r="295" spans="1:6" x14ac:dyDescent="0.25">
      <c r="A295" t="s">
        <v>18</v>
      </c>
      <c r="B295" t="s">
        <v>59</v>
      </c>
      <c r="C295" t="s">
        <v>560</v>
      </c>
      <c r="E295" s="2">
        <v>46131</v>
      </c>
      <c r="F295" s="3">
        <f t="shared" si="10"/>
        <v>202617</v>
      </c>
    </row>
    <row r="296" spans="1:6" x14ac:dyDescent="0.25">
      <c r="A296" t="s">
        <v>36</v>
      </c>
      <c r="B296" t="s">
        <v>119</v>
      </c>
      <c r="C296" t="s">
        <v>561</v>
      </c>
      <c r="E296" s="4">
        <v>46132</v>
      </c>
      <c r="F296" s="6">
        <f t="shared" si="10"/>
        <v>202617</v>
      </c>
    </row>
    <row r="297" spans="1:6" x14ac:dyDescent="0.25">
      <c r="A297" t="s">
        <v>36</v>
      </c>
      <c r="B297" t="s">
        <v>59</v>
      </c>
      <c r="C297" t="s">
        <v>562</v>
      </c>
      <c r="E297" s="2">
        <v>46133</v>
      </c>
      <c r="F297" s="3">
        <f t="shared" si="10"/>
        <v>202617</v>
      </c>
    </row>
    <row r="298" spans="1:6" x14ac:dyDescent="0.25">
      <c r="A298" t="s">
        <v>11</v>
      </c>
      <c r="B298" t="s">
        <v>32</v>
      </c>
      <c r="C298" t="s">
        <v>563</v>
      </c>
      <c r="E298" s="4">
        <v>46134</v>
      </c>
      <c r="F298" s="6">
        <f t="shared" si="10"/>
        <v>202617</v>
      </c>
    </row>
    <row r="299" spans="1:6" x14ac:dyDescent="0.25">
      <c r="A299" t="s">
        <v>36</v>
      </c>
      <c r="B299" t="s">
        <v>32</v>
      </c>
      <c r="C299" t="s">
        <v>564</v>
      </c>
      <c r="E299" s="2">
        <v>46135</v>
      </c>
      <c r="F299" s="3">
        <f t="shared" si="10"/>
        <v>202617</v>
      </c>
    </row>
    <row r="300" spans="1:6" x14ac:dyDescent="0.25">
      <c r="A300" t="s">
        <v>36</v>
      </c>
      <c r="B300" t="s">
        <v>236</v>
      </c>
      <c r="C300" t="s">
        <v>565</v>
      </c>
      <c r="E300" s="4">
        <v>46136</v>
      </c>
      <c r="F300" s="6">
        <f t="shared" si="10"/>
        <v>202617</v>
      </c>
    </row>
    <row r="301" spans="1:6" x14ac:dyDescent="0.25">
      <c r="A301" t="s">
        <v>11</v>
      </c>
      <c r="B301" t="s">
        <v>119</v>
      </c>
      <c r="C301" t="s">
        <v>566</v>
      </c>
      <c r="E301" s="2">
        <v>46137</v>
      </c>
      <c r="F301" s="3">
        <f t="shared" si="10"/>
        <v>202617</v>
      </c>
    </row>
    <row r="302" spans="1:6" x14ac:dyDescent="0.25">
      <c r="A302" t="s">
        <v>36</v>
      </c>
      <c r="B302" t="s">
        <v>236</v>
      </c>
      <c r="C302" t="s">
        <v>567</v>
      </c>
      <c r="E302" s="4">
        <v>46138</v>
      </c>
      <c r="F302" s="6">
        <f t="shared" si="10"/>
        <v>202618</v>
      </c>
    </row>
    <row r="303" spans="1:6" x14ac:dyDescent="0.25">
      <c r="A303" t="s">
        <v>36</v>
      </c>
      <c r="B303" t="s">
        <v>44</v>
      </c>
      <c r="C303" t="s">
        <v>568</v>
      </c>
      <c r="E303" s="2">
        <v>46139</v>
      </c>
      <c r="F303" s="3">
        <f t="shared" si="10"/>
        <v>202618</v>
      </c>
    </row>
    <row r="304" spans="1:6" x14ac:dyDescent="0.25">
      <c r="A304" t="s">
        <v>11</v>
      </c>
      <c r="B304" t="s">
        <v>299</v>
      </c>
      <c r="C304" t="s">
        <v>569</v>
      </c>
      <c r="E304" s="4">
        <v>46140</v>
      </c>
      <c r="F304" s="6">
        <f t="shared" si="10"/>
        <v>202618</v>
      </c>
    </row>
    <row r="305" spans="1:6" x14ac:dyDescent="0.25">
      <c r="A305" t="s">
        <v>11</v>
      </c>
      <c r="B305" t="s">
        <v>91</v>
      </c>
      <c r="C305" t="s">
        <v>570</v>
      </c>
      <c r="E305" s="2">
        <v>46141</v>
      </c>
      <c r="F305" s="3">
        <f t="shared" si="10"/>
        <v>202618</v>
      </c>
    </row>
    <row r="306" spans="1:6" x14ac:dyDescent="0.25">
      <c r="A306" t="s">
        <v>36</v>
      </c>
      <c r="B306" t="s">
        <v>119</v>
      </c>
      <c r="C306" t="s">
        <v>571</v>
      </c>
      <c r="E306" s="4">
        <v>46142</v>
      </c>
      <c r="F306" s="6">
        <f t="shared" si="10"/>
        <v>202618</v>
      </c>
    </row>
    <row r="307" spans="1:6" x14ac:dyDescent="0.25">
      <c r="A307" t="s">
        <v>11</v>
      </c>
      <c r="B307" t="s">
        <v>32</v>
      </c>
      <c r="C307" t="s">
        <v>572</v>
      </c>
      <c r="E307" s="2">
        <v>46143</v>
      </c>
      <c r="F307" s="3">
        <f t="shared" si="10"/>
        <v>202618</v>
      </c>
    </row>
    <row r="308" spans="1:6" x14ac:dyDescent="0.25">
      <c r="A308" t="s">
        <v>18</v>
      </c>
      <c r="B308" t="s">
        <v>236</v>
      </c>
      <c r="C308" t="s">
        <v>573</v>
      </c>
      <c r="E308" s="4">
        <v>46144</v>
      </c>
      <c r="F308" s="6">
        <f t="shared" si="10"/>
        <v>202618</v>
      </c>
    </row>
    <row r="309" spans="1:6" x14ac:dyDescent="0.25">
      <c r="A309" t="s">
        <v>36</v>
      </c>
      <c r="B309" t="s">
        <v>12</v>
      </c>
      <c r="C309" t="s">
        <v>574</v>
      </c>
      <c r="E309" s="2">
        <v>46145</v>
      </c>
      <c r="F309" s="3">
        <f t="shared" si="10"/>
        <v>202619</v>
      </c>
    </row>
    <row r="310" spans="1:6" x14ac:dyDescent="0.25">
      <c r="A310" t="s">
        <v>18</v>
      </c>
      <c r="B310" t="s">
        <v>236</v>
      </c>
      <c r="C310" t="s">
        <v>575</v>
      </c>
      <c r="E310" s="4">
        <v>46146</v>
      </c>
      <c r="F310" s="6">
        <f t="shared" si="10"/>
        <v>202619</v>
      </c>
    </row>
    <row r="311" spans="1:6" x14ac:dyDescent="0.25">
      <c r="A311" t="s">
        <v>11</v>
      </c>
      <c r="B311" t="s">
        <v>32</v>
      </c>
      <c r="C311" t="s">
        <v>576</v>
      </c>
      <c r="E311" s="2">
        <v>46147</v>
      </c>
      <c r="F311" s="3">
        <f t="shared" si="10"/>
        <v>202619</v>
      </c>
    </row>
    <row r="312" spans="1:6" x14ac:dyDescent="0.25">
      <c r="A312" t="s">
        <v>18</v>
      </c>
      <c r="B312" t="s">
        <v>119</v>
      </c>
      <c r="C312" t="s">
        <v>577</v>
      </c>
      <c r="E312" s="4">
        <v>46148</v>
      </c>
      <c r="F312" s="6">
        <f t="shared" si="10"/>
        <v>202619</v>
      </c>
    </row>
    <row r="313" spans="1:6" x14ac:dyDescent="0.25">
      <c r="A313" t="s">
        <v>36</v>
      </c>
      <c r="B313" t="s">
        <v>32</v>
      </c>
      <c r="C313" t="s">
        <v>578</v>
      </c>
      <c r="E313" s="2">
        <v>46149</v>
      </c>
      <c r="F313" s="3">
        <f t="shared" si="10"/>
        <v>202619</v>
      </c>
    </row>
    <row r="314" spans="1:6" x14ac:dyDescent="0.25">
      <c r="A314" t="s">
        <v>11</v>
      </c>
      <c r="B314" t="s">
        <v>59</v>
      </c>
      <c r="C314" t="s">
        <v>579</v>
      </c>
      <c r="E314" s="4">
        <v>46150</v>
      </c>
      <c r="F314" s="6">
        <f t="shared" si="10"/>
        <v>202619</v>
      </c>
    </row>
    <row r="315" spans="1:6" x14ac:dyDescent="0.25">
      <c r="A315" t="s">
        <v>36</v>
      </c>
      <c r="B315" t="s">
        <v>49</v>
      </c>
      <c r="C315" t="s">
        <v>580</v>
      </c>
      <c r="E315" s="2">
        <v>46151</v>
      </c>
      <c r="F315" s="3">
        <f t="shared" si="10"/>
        <v>202619</v>
      </c>
    </row>
    <row r="316" spans="1:6" x14ac:dyDescent="0.25">
      <c r="A316" t="s">
        <v>36</v>
      </c>
      <c r="B316" t="s">
        <v>37</v>
      </c>
      <c r="C316" t="s">
        <v>581</v>
      </c>
      <c r="E316" s="4">
        <v>46152</v>
      </c>
      <c r="F316" s="6">
        <f t="shared" si="10"/>
        <v>202620</v>
      </c>
    </row>
    <row r="317" spans="1:6" x14ac:dyDescent="0.25">
      <c r="A317" t="s">
        <v>18</v>
      </c>
      <c r="B317" t="s">
        <v>12</v>
      </c>
      <c r="C317" t="s">
        <v>582</v>
      </c>
      <c r="E317" s="2">
        <v>46153</v>
      </c>
      <c r="F317" s="3">
        <f t="shared" si="10"/>
        <v>202620</v>
      </c>
    </row>
    <row r="318" spans="1:6" x14ac:dyDescent="0.25">
      <c r="A318" t="s">
        <v>11</v>
      </c>
      <c r="B318" t="s">
        <v>299</v>
      </c>
      <c r="C318" t="s">
        <v>583</v>
      </c>
      <c r="E318" s="4">
        <v>46154</v>
      </c>
      <c r="F318" s="6">
        <f t="shared" si="10"/>
        <v>202620</v>
      </c>
    </row>
    <row r="319" spans="1:6" x14ac:dyDescent="0.25">
      <c r="A319" t="s">
        <v>36</v>
      </c>
      <c r="B319" t="s">
        <v>44</v>
      </c>
      <c r="C319" t="s">
        <v>584</v>
      </c>
      <c r="E319" s="2">
        <v>46155</v>
      </c>
      <c r="F319" s="3">
        <f t="shared" si="10"/>
        <v>202620</v>
      </c>
    </row>
    <row r="320" spans="1:6" x14ac:dyDescent="0.25">
      <c r="A320" t="s">
        <v>11</v>
      </c>
      <c r="B320" t="s">
        <v>156</v>
      </c>
      <c r="C320" t="s">
        <v>585</v>
      </c>
      <c r="E320" s="4">
        <v>46156</v>
      </c>
      <c r="F320" s="6">
        <f t="shared" si="10"/>
        <v>202620</v>
      </c>
    </row>
    <row r="321" spans="1:6" x14ac:dyDescent="0.25">
      <c r="A321" t="s">
        <v>18</v>
      </c>
      <c r="B321" t="s">
        <v>32</v>
      </c>
      <c r="C321" t="s">
        <v>586</v>
      </c>
      <c r="E321" s="2">
        <v>46157</v>
      </c>
      <c r="F321" s="3">
        <f t="shared" si="10"/>
        <v>202620</v>
      </c>
    </row>
    <row r="322" spans="1:6" x14ac:dyDescent="0.25">
      <c r="A322" t="s">
        <v>36</v>
      </c>
      <c r="B322" t="s">
        <v>12</v>
      </c>
      <c r="C322" t="s">
        <v>587</v>
      </c>
      <c r="E322" s="4">
        <v>46158</v>
      </c>
      <c r="F322" s="6">
        <f t="shared" si="10"/>
        <v>202620</v>
      </c>
    </row>
    <row r="323" spans="1:6" x14ac:dyDescent="0.25">
      <c r="A323" t="s">
        <v>36</v>
      </c>
      <c r="B323" t="s">
        <v>236</v>
      </c>
      <c r="C323" t="s">
        <v>588</v>
      </c>
      <c r="E323" s="2">
        <v>46159</v>
      </c>
      <c r="F323" s="3">
        <f t="shared" ref="F323:F386" si="11">_xlfn.CONCAT(YEAR(E323),TEXT(WEEKNUM(E323,1),"00"))*1</f>
        <v>202621</v>
      </c>
    </row>
    <row r="324" spans="1:6" x14ac:dyDescent="0.25">
      <c r="A324" t="s">
        <v>36</v>
      </c>
      <c r="B324" t="s">
        <v>44</v>
      </c>
      <c r="C324" t="s">
        <v>589</v>
      </c>
      <c r="E324" s="4">
        <v>46160</v>
      </c>
      <c r="F324" s="6">
        <f t="shared" si="11"/>
        <v>202621</v>
      </c>
    </row>
    <row r="325" spans="1:6" x14ac:dyDescent="0.25">
      <c r="A325" t="s">
        <v>36</v>
      </c>
      <c r="B325" t="s">
        <v>119</v>
      </c>
      <c r="C325" t="s">
        <v>590</v>
      </c>
      <c r="E325" s="2">
        <v>46161</v>
      </c>
      <c r="F325" s="3">
        <f t="shared" si="11"/>
        <v>202621</v>
      </c>
    </row>
    <row r="326" spans="1:6" x14ac:dyDescent="0.25">
      <c r="A326" t="s">
        <v>11</v>
      </c>
      <c r="B326" t="s">
        <v>44</v>
      </c>
      <c r="C326" t="s">
        <v>591</v>
      </c>
      <c r="E326" s="4">
        <v>46162</v>
      </c>
      <c r="F326" s="6">
        <f t="shared" si="11"/>
        <v>202621</v>
      </c>
    </row>
    <row r="327" spans="1:6" x14ac:dyDescent="0.25">
      <c r="A327" t="s">
        <v>11</v>
      </c>
      <c r="B327" t="s">
        <v>44</v>
      </c>
      <c r="C327" t="s">
        <v>592</v>
      </c>
      <c r="E327" s="2">
        <v>46163</v>
      </c>
      <c r="F327" s="3">
        <f t="shared" si="11"/>
        <v>202621</v>
      </c>
    </row>
    <row r="328" spans="1:6" x14ac:dyDescent="0.25">
      <c r="A328" t="s">
        <v>36</v>
      </c>
      <c r="B328" t="s">
        <v>12</v>
      </c>
      <c r="C328" t="s">
        <v>593</v>
      </c>
      <c r="E328" s="4">
        <v>46164</v>
      </c>
      <c r="F328" s="6">
        <f t="shared" si="11"/>
        <v>202621</v>
      </c>
    </row>
    <row r="329" spans="1:6" x14ac:dyDescent="0.25">
      <c r="A329" t="s">
        <v>11</v>
      </c>
      <c r="B329" t="s">
        <v>119</v>
      </c>
      <c r="C329" t="s">
        <v>594</v>
      </c>
      <c r="E329" s="2">
        <v>46165</v>
      </c>
      <c r="F329" s="3">
        <f t="shared" si="11"/>
        <v>202621</v>
      </c>
    </row>
    <row r="330" spans="1:6" x14ac:dyDescent="0.25">
      <c r="A330" t="s">
        <v>18</v>
      </c>
      <c r="B330" t="s">
        <v>32</v>
      </c>
      <c r="C330" t="s">
        <v>595</v>
      </c>
      <c r="E330" s="4">
        <v>46166</v>
      </c>
      <c r="F330" s="6">
        <f t="shared" si="11"/>
        <v>202622</v>
      </c>
    </row>
    <row r="331" spans="1:6" x14ac:dyDescent="0.25">
      <c r="A331" t="s">
        <v>18</v>
      </c>
      <c r="B331" t="s">
        <v>596</v>
      </c>
      <c r="C331" t="s">
        <v>597</v>
      </c>
      <c r="E331" s="2">
        <v>46167</v>
      </c>
      <c r="F331" s="3">
        <f t="shared" si="11"/>
        <v>202622</v>
      </c>
    </row>
    <row r="332" spans="1:6" x14ac:dyDescent="0.25">
      <c r="A332" t="s">
        <v>18</v>
      </c>
      <c r="B332" t="s">
        <v>44</v>
      </c>
      <c r="C332" t="s">
        <v>598</v>
      </c>
      <c r="E332" s="4">
        <v>46168</v>
      </c>
      <c r="F332" s="6">
        <f t="shared" si="11"/>
        <v>202622</v>
      </c>
    </row>
    <row r="333" spans="1:6" x14ac:dyDescent="0.25">
      <c r="A333" t="s">
        <v>11</v>
      </c>
      <c r="B333" t="s">
        <v>59</v>
      </c>
      <c r="C333" t="s">
        <v>599</v>
      </c>
      <c r="E333" s="2">
        <v>46169</v>
      </c>
      <c r="F333" s="3">
        <f t="shared" si="11"/>
        <v>202622</v>
      </c>
    </row>
    <row r="334" spans="1:6" x14ac:dyDescent="0.25">
      <c r="A334" t="s">
        <v>36</v>
      </c>
      <c r="B334" t="s">
        <v>59</v>
      </c>
      <c r="C334" t="s">
        <v>600</v>
      </c>
      <c r="E334" s="4">
        <v>46170</v>
      </c>
      <c r="F334" s="6">
        <f t="shared" si="11"/>
        <v>202622</v>
      </c>
    </row>
    <row r="335" spans="1:6" x14ac:dyDescent="0.25">
      <c r="A335" t="s">
        <v>11</v>
      </c>
      <c r="B335" t="s">
        <v>59</v>
      </c>
      <c r="C335" t="s">
        <v>601</v>
      </c>
      <c r="E335" s="2">
        <v>46171</v>
      </c>
      <c r="F335" s="3">
        <f t="shared" si="11"/>
        <v>202622</v>
      </c>
    </row>
    <row r="336" spans="1:6" x14ac:dyDescent="0.25">
      <c r="A336" t="s">
        <v>11</v>
      </c>
      <c r="B336" t="s">
        <v>59</v>
      </c>
      <c r="C336" t="s">
        <v>602</v>
      </c>
      <c r="E336" s="4">
        <v>46172</v>
      </c>
      <c r="F336" s="6">
        <f t="shared" si="11"/>
        <v>202622</v>
      </c>
    </row>
    <row r="337" spans="1:6" x14ac:dyDescent="0.25">
      <c r="A337" t="s">
        <v>18</v>
      </c>
      <c r="B337" t="s">
        <v>59</v>
      </c>
      <c r="C337" t="s">
        <v>603</v>
      </c>
      <c r="E337" s="2">
        <v>46173</v>
      </c>
      <c r="F337" s="3">
        <f t="shared" si="11"/>
        <v>202623</v>
      </c>
    </row>
    <row r="338" spans="1:6" x14ac:dyDescent="0.25">
      <c r="A338" t="s">
        <v>18</v>
      </c>
      <c r="B338" t="s">
        <v>59</v>
      </c>
      <c r="C338" t="s">
        <v>604</v>
      </c>
      <c r="E338" s="4">
        <v>46174</v>
      </c>
      <c r="F338" s="6">
        <f t="shared" si="11"/>
        <v>202623</v>
      </c>
    </row>
    <row r="339" spans="1:6" x14ac:dyDescent="0.25">
      <c r="A339" t="s">
        <v>11</v>
      </c>
      <c r="B339" t="s">
        <v>59</v>
      </c>
      <c r="C339" t="s">
        <v>605</v>
      </c>
      <c r="E339" s="2">
        <v>46175</v>
      </c>
      <c r="F339" s="3">
        <f t="shared" si="11"/>
        <v>202623</v>
      </c>
    </row>
    <row r="340" spans="1:6" x14ac:dyDescent="0.25">
      <c r="A340" t="s">
        <v>36</v>
      </c>
      <c r="B340" t="s">
        <v>12</v>
      </c>
      <c r="C340" t="s">
        <v>606</v>
      </c>
      <c r="E340" s="4">
        <v>46176</v>
      </c>
      <c r="F340" s="6">
        <f t="shared" si="11"/>
        <v>202623</v>
      </c>
    </row>
    <row r="341" spans="1:6" x14ac:dyDescent="0.25">
      <c r="A341" t="s">
        <v>11</v>
      </c>
      <c r="B341" t="s">
        <v>37</v>
      </c>
      <c r="C341" t="s">
        <v>607</v>
      </c>
      <c r="E341" s="2">
        <v>46177</v>
      </c>
      <c r="F341" s="3">
        <f t="shared" si="11"/>
        <v>202623</v>
      </c>
    </row>
    <row r="342" spans="1:6" x14ac:dyDescent="0.25">
      <c r="A342" t="s">
        <v>11</v>
      </c>
      <c r="B342" t="s">
        <v>32</v>
      </c>
      <c r="C342" t="s">
        <v>608</v>
      </c>
      <c r="E342" s="4">
        <v>46178</v>
      </c>
      <c r="F342" s="6">
        <f t="shared" si="11"/>
        <v>202623</v>
      </c>
    </row>
    <row r="343" spans="1:6" x14ac:dyDescent="0.25">
      <c r="A343" t="s">
        <v>11</v>
      </c>
      <c r="B343" t="s">
        <v>236</v>
      </c>
      <c r="C343" t="s">
        <v>609</v>
      </c>
      <c r="E343" s="2">
        <v>46179</v>
      </c>
      <c r="F343" s="3">
        <f t="shared" si="11"/>
        <v>202623</v>
      </c>
    </row>
    <row r="344" spans="1:6" x14ac:dyDescent="0.25">
      <c r="A344" t="s">
        <v>11</v>
      </c>
      <c r="B344" t="s">
        <v>37</v>
      </c>
      <c r="C344" t="s">
        <v>610</v>
      </c>
      <c r="E344" s="4">
        <v>46180</v>
      </c>
      <c r="F344" s="6">
        <f t="shared" si="11"/>
        <v>202624</v>
      </c>
    </row>
    <row r="345" spans="1:6" x14ac:dyDescent="0.25">
      <c r="A345" t="s">
        <v>36</v>
      </c>
      <c r="B345" t="s">
        <v>44</v>
      </c>
      <c r="C345" t="s">
        <v>611</v>
      </c>
      <c r="E345" s="2">
        <v>46181</v>
      </c>
      <c r="F345" s="3">
        <f t="shared" si="11"/>
        <v>202624</v>
      </c>
    </row>
    <row r="346" spans="1:6" x14ac:dyDescent="0.25">
      <c r="A346" t="s">
        <v>11</v>
      </c>
      <c r="B346" t="s">
        <v>44</v>
      </c>
      <c r="C346" t="s">
        <v>612</v>
      </c>
      <c r="E346" s="4">
        <v>46182</v>
      </c>
      <c r="F346" s="6">
        <f t="shared" si="11"/>
        <v>202624</v>
      </c>
    </row>
    <row r="347" spans="1:6" x14ac:dyDescent="0.25">
      <c r="A347" t="s">
        <v>18</v>
      </c>
      <c r="B347" t="s">
        <v>227</v>
      </c>
      <c r="C347" t="s">
        <v>613</v>
      </c>
      <c r="E347" s="2">
        <v>46183</v>
      </c>
      <c r="F347" s="3">
        <f t="shared" si="11"/>
        <v>202624</v>
      </c>
    </row>
    <row r="348" spans="1:6" x14ac:dyDescent="0.25">
      <c r="A348" t="s">
        <v>11</v>
      </c>
      <c r="B348" t="s">
        <v>12</v>
      </c>
      <c r="C348" t="s">
        <v>614</v>
      </c>
      <c r="E348" s="4">
        <v>46184</v>
      </c>
      <c r="F348" s="6">
        <f t="shared" si="11"/>
        <v>202624</v>
      </c>
    </row>
    <row r="349" spans="1:6" x14ac:dyDescent="0.25">
      <c r="A349" t="s">
        <v>11</v>
      </c>
      <c r="B349" t="s">
        <v>59</v>
      </c>
      <c r="C349" t="s">
        <v>615</v>
      </c>
      <c r="E349" s="2">
        <v>46185</v>
      </c>
      <c r="F349" s="3">
        <f t="shared" si="11"/>
        <v>202624</v>
      </c>
    </row>
    <row r="350" spans="1:6" x14ac:dyDescent="0.25">
      <c r="A350" t="s">
        <v>36</v>
      </c>
      <c r="B350" t="s">
        <v>37</v>
      </c>
      <c r="C350" t="s">
        <v>616</v>
      </c>
      <c r="E350" s="4">
        <v>46186</v>
      </c>
      <c r="F350" s="6">
        <f t="shared" si="11"/>
        <v>202624</v>
      </c>
    </row>
    <row r="351" spans="1:6" x14ac:dyDescent="0.25">
      <c r="A351" t="s">
        <v>36</v>
      </c>
      <c r="B351" t="s">
        <v>32</v>
      </c>
      <c r="C351" t="s">
        <v>617</v>
      </c>
      <c r="E351" s="2">
        <v>46187</v>
      </c>
      <c r="F351" s="3">
        <f t="shared" si="11"/>
        <v>202625</v>
      </c>
    </row>
    <row r="352" spans="1:6" x14ac:dyDescent="0.25">
      <c r="A352" t="s">
        <v>36</v>
      </c>
      <c r="B352" t="s">
        <v>69</v>
      </c>
      <c r="C352" t="s">
        <v>618</v>
      </c>
      <c r="E352" s="4">
        <v>46188</v>
      </c>
      <c r="F352" s="6">
        <f t="shared" si="11"/>
        <v>202625</v>
      </c>
    </row>
    <row r="353" spans="1:6" x14ac:dyDescent="0.25">
      <c r="A353" t="s">
        <v>18</v>
      </c>
      <c r="B353" t="s">
        <v>37</v>
      </c>
      <c r="C353" t="s">
        <v>619</v>
      </c>
      <c r="E353" s="2">
        <v>46189</v>
      </c>
      <c r="F353" s="3">
        <f t="shared" si="11"/>
        <v>202625</v>
      </c>
    </row>
    <row r="354" spans="1:6" x14ac:dyDescent="0.25">
      <c r="A354" t="s">
        <v>11</v>
      </c>
      <c r="B354" t="s">
        <v>180</v>
      </c>
      <c r="C354" t="s">
        <v>620</v>
      </c>
      <c r="E354" s="4">
        <v>46190</v>
      </c>
      <c r="F354" s="6">
        <f t="shared" si="11"/>
        <v>202625</v>
      </c>
    </row>
    <row r="355" spans="1:6" x14ac:dyDescent="0.25">
      <c r="A355" t="s">
        <v>36</v>
      </c>
      <c r="B355" t="s">
        <v>37</v>
      </c>
      <c r="C355" t="s">
        <v>621</v>
      </c>
      <c r="E355" s="2">
        <v>46191</v>
      </c>
      <c r="F355" s="3">
        <f t="shared" si="11"/>
        <v>202625</v>
      </c>
    </row>
    <row r="356" spans="1:6" x14ac:dyDescent="0.25">
      <c r="A356" t="s">
        <v>36</v>
      </c>
      <c r="B356" t="s">
        <v>32</v>
      </c>
      <c r="C356" t="s">
        <v>622</v>
      </c>
      <c r="E356" s="4">
        <v>46192</v>
      </c>
      <c r="F356" s="6">
        <f t="shared" si="11"/>
        <v>202625</v>
      </c>
    </row>
    <row r="357" spans="1:6" x14ac:dyDescent="0.25">
      <c r="A357" t="s">
        <v>18</v>
      </c>
      <c r="B357" t="s">
        <v>12</v>
      </c>
      <c r="C357" t="s">
        <v>623</v>
      </c>
      <c r="E357" s="2">
        <v>46193</v>
      </c>
      <c r="F357" s="3">
        <f t="shared" si="11"/>
        <v>202625</v>
      </c>
    </row>
    <row r="358" spans="1:6" x14ac:dyDescent="0.25">
      <c r="A358" t="s">
        <v>36</v>
      </c>
      <c r="B358" t="s">
        <v>32</v>
      </c>
      <c r="C358" t="s">
        <v>624</v>
      </c>
      <c r="E358" s="4">
        <v>46194</v>
      </c>
      <c r="F358" s="6">
        <f t="shared" si="11"/>
        <v>202626</v>
      </c>
    </row>
    <row r="359" spans="1:6" x14ac:dyDescent="0.25">
      <c r="A359" t="s">
        <v>11</v>
      </c>
      <c r="B359" t="s">
        <v>44</v>
      </c>
      <c r="C359" t="s">
        <v>625</v>
      </c>
      <c r="E359" s="2">
        <v>46195</v>
      </c>
      <c r="F359" s="3">
        <f t="shared" si="11"/>
        <v>202626</v>
      </c>
    </row>
    <row r="360" spans="1:6" x14ac:dyDescent="0.25">
      <c r="A360" t="s">
        <v>18</v>
      </c>
      <c r="B360" t="s">
        <v>44</v>
      </c>
      <c r="C360" t="s">
        <v>626</v>
      </c>
      <c r="E360" s="4">
        <v>46196</v>
      </c>
      <c r="F360" s="6">
        <f t="shared" si="11"/>
        <v>202626</v>
      </c>
    </row>
    <row r="361" spans="1:6" x14ac:dyDescent="0.25">
      <c r="A361" t="s">
        <v>36</v>
      </c>
      <c r="B361" t="s">
        <v>37</v>
      </c>
      <c r="C361" t="s">
        <v>627</v>
      </c>
      <c r="E361" s="2">
        <v>46197</v>
      </c>
      <c r="F361" s="3">
        <f t="shared" si="11"/>
        <v>202626</v>
      </c>
    </row>
    <row r="362" spans="1:6" x14ac:dyDescent="0.25">
      <c r="A362" t="s">
        <v>11</v>
      </c>
      <c r="B362" t="s">
        <v>44</v>
      </c>
      <c r="C362" t="s">
        <v>628</v>
      </c>
      <c r="E362" s="4">
        <v>46198</v>
      </c>
      <c r="F362" s="6">
        <f t="shared" si="11"/>
        <v>202626</v>
      </c>
    </row>
    <row r="363" spans="1:6" x14ac:dyDescent="0.25">
      <c r="A363" t="s">
        <v>18</v>
      </c>
      <c r="B363" t="s">
        <v>59</v>
      </c>
      <c r="C363" t="s">
        <v>629</v>
      </c>
      <c r="E363" s="2">
        <v>46199</v>
      </c>
      <c r="F363" s="3">
        <f t="shared" si="11"/>
        <v>202626</v>
      </c>
    </row>
    <row r="364" spans="1:6" x14ac:dyDescent="0.25">
      <c r="A364" t="s">
        <v>18</v>
      </c>
      <c r="B364" t="s">
        <v>12</v>
      </c>
      <c r="C364" t="s">
        <v>630</v>
      </c>
      <c r="E364" s="4">
        <v>46200</v>
      </c>
      <c r="F364" s="6">
        <f t="shared" si="11"/>
        <v>202626</v>
      </c>
    </row>
    <row r="365" spans="1:6" x14ac:dyDescent="0.25">
      <c r="A365" t="s">
        <v>36</v>
      </c>
      <c r="B365" t="s">
        <v>119</v>
      </c>
      <c r="C365" t="s">
        <v>631</v>
      </c>
      <c r="E365" s="2">
        <v>46201</v>
      </c>
      <c r="F365" s="3">
        <f t="shared" si="11"/>
        <v>202627</v>
      </c>
    </row>
    <row r="366" spans="1:6" x14ac:dyDescent="0.25">
      <c r="A366" t="s">
        <v>36</v>
      </c>
      <c r="B366" t="s">
        <v>37</v>
      </c>
      <c r="C366" t="s">
        <v>632</v>
      </c>
      <c r="E366" s="4">
        <v>46202</v>
      </c>
      <c r="F366" s="6">
        <f t="shared" si="11"/>
        <v>202627</v>
      </c>
    </row>
    <row r="367" spans="1:6" x14ac:dyDescent="0.25">
      <c r="A367" t="s">
        <v>18</v>
      </c>
      <c r="B367" t="s">
        <v>236</v>
      </c>
      <c r="C367" t="s">
        <v>633</v>
      </c>
      <c r="E367" s="2">
        <v>46203</v>
      </c>
      <c r="F367" s="3">
        <f t="shared" si="11"/>
        <v>202627</v>
      </c>
    </row>
    <row r="368" spans="1:6" x14ac:dyDescent="0.25">
      <c r="A368" t="s">
        <v>11</v>
      </c>
      <c r="B368" t="s">
        <v>119</v>
      </c>
      <c r="C368" t="s">
        <v>634</v>
      </c>
      <c r="E368" s="4">
        <v>46204</v>
      </c>
      <c r="F368" s="6">
        <f t="shared" si="11"/>
        <v>202627</v>
      </c>
    </row>
    <row r="369" spans="1:6" x14ac:dyDescent="0.25">
      <c r="A369" t="s">
        <v>18</v>
      </c>
      <c r="B369" t="s">
        <v>44</v>
      </c>
      <c r="C369" t="s">
        <v>635</v>
      </c>
      <c r="E369" s="2">
        <v>46205</v>
      </c>
      <c r="F369" s="3">
        <f t="shared" si="11"/>
        <v>202627</v>
      </c>
    </row>
    <row r="370" spans="1:6" x14ac:dyDescent="0.25">
      <c r="A370" t="s">
        <v>36</v>
      </c>
      <c r="B370" t="s">
        <v>49</v>
      </c>
      <c r="C370" t="s">
        <v>636</v>
      </c>
      <c r="E370" s="4">
        <v>46206</v>
      </c>
      <c r="F370" s="6">
        <f t="shared" si="11"/>
        <v>202627</v>
      </c>
    </row>
    <row r="371" spans="1:6" x14ac:dyDescent="0.25">
      <c r="A371" t="s">
        <v>18</v>
      </c>
      <c r="B371" t="s">
        <v>44</v>
      </c>
      <c r="C371" t="s">
        <v>637</v>
      </c>
      <c r="E371" s="2">
        <v>46207</v>
      </c>
      <c r="F371" s="3">
        <f t="shared" si="11"/>
        <v>202627</v>
      </c>
    </row>
    <row r="372" spans="1:6" x14ac:dyDescent="0.25">
      <c r="A372" t="s">
        <v>18</v>
      </c>
      <c r="B372" t="s">
        <v>12</v>
      </c>
      <c r="C372" t="s">
        <v>638</v>
      </c>
      <c r="E372" s="4">
        <v>46208</v>
      </c>
      <c r="F372" s="6">
        <f t="shared" si="11"/>
        <v>202628</v>
      </c>
    </row>
    <row r="373" spans="1:6" x14ac:dyDescent="0.25">
      <c r="A373" t="s">
        <v>11</v>
      </c>
      <c r="B373" t="s">
        <v>37</v>
      </c>
      <c r="C373" t="s">
        <v>639</v>
      </c>
      <c r="E373" s="2">
        <v>46209</v>
      </c>
      <c r="F373" s="3">
        <f t="shared" si="11"/>
        <v>202628</v>
      </c>
    </row>
    <row r="374" spans="1:6" x14ac:dyDescent="0.25">
      <c r="A374" t="s">
        <v>36</v>
      </c>
      <c r="B374" t="s">
        <v>236</v>
      </c>
      <c r="C374" t="s">
        <v>640</v>
      </c>
      <c r="E374" s="4">
        <v>46210</v>
      </c>
      <c r="F374" s="6">
        <f t="shared" si="11"/>
        <v>202628</v>
      </c>
    </row>
    <row r="375" spans="1:6" x14ac:dyDescent="0.25">
      <c r="A375" t="s">
        <v>18</v>
      </c>
      <c r="B375" t="s">
        <v>44</v>
      </c>
      <c r="C375" t="s">
        <v>641</v>
      </c>
      <c r="E375" s="2">
        <v>46211</v>
      </c>
      <c r="F375" s="3">
        <f t="shared" si="11"/>
        <v>202628</v>
      </c>
    </row>
    <row r="376" spans="1:6" x14ac:dyDescent="0.25">
      <c r="A376" t="s">
        <v>18</v>
      </c>
      <c r="B376" t="s">
        <v>44</v>
      </c>
      <c r="C376" t="s">
        <v>642</v>
      </c>
      <c r="E376" s="4">
        <v>46212</v>
      </c>
      <c r="F376" s="6">
        <f t="shared" si="11"/>
        <v>202628</v>
      </c>
    </row>
    <row r="377" spans="1:6" x14ac:dyDescent="0.25">
      <c r="A377" t="s">
        <v>36</v>
      </c>
      <c r="B377" t="s">
        <v>37</v>
      </c>
      <c r="C377" t="s">
        <v>643</v>
      </c>
      <c r="E377" s="2">
        <v>46213</v>
      </c>
      <c r="F377" s="3">
        <f t="shared" si="11"/>
        <v>202628</v>
      </c>
    </row>
    <row r="378" spans="1:6" x14ac:dyDescent="0.25">
      <c r="A378" t="s">
        <v>11</v>
      </c>
      <c r="B378" t="s">
        <v>12</v>
      </c>
      <c r="C378" t="s">
        <v>644</v>
      </c>
      <c r="E378" s="4">
        <v>46214</v>
      </c>
      <c r="F378" s="6">
        <f t="shared" si="11"/>
        <v>202628</v>
      </c>
    </row>
    <row r="379" spans="1:6" x14ac:dyDescent="0.25">
      <c r="A379" t="s">
        <v>36</v>
      </c>
      <c r="B379" t="s">
        <v>12</v>
      </c>
      <c r="C379" t="s">
        <v>645</v>
      </c>
      <c r="E379" s="2">
        <v>46215</v>
      </c>
      <c r="F379" s="3">
        <f t="shared" si="11"/>
        <v>202629</v>
      </c>
    </row>
    <row r="380" spans="1:6" x14ac:dyDescent="0.25">
      <c r="A380" t="s">
        <v>11</v>
      </c>
      <c r="B380" t="s">
        <v>156</v>
      </c>
      <c r="C380" t="s">
        <v>646</v>
      </c>
      <c r="E380" s="4">
        <v>46216</v>
      </c>
      <c r="F380" s="6">
        <f t="shared" si="11"/>
        <v>202629</v>
      </c>
    </row>
    <row r="381" spans="1:6" x14ac:dyDescent="0.25">
      <c r="A381" t="s">
        <v>11</v>
      </c>
      <c r="B381" t="s">
        <v>159</v>
      </c>
      <c r="C381" t="s">
        <v>647</v>
      </c>
      <c r="E381" s="2">
        <v>46217</v>
      </c>
      <c r="F381" s="3">
        <f t="shared" si="11"/>
        <v>202629</v>
      </c>
    </row>
    <row r="382" spans="1:6" x14ac:dyDescent="0.25">
      <c r="A382" t="s">
        <v>18</v>
      </c>
      <c r="B382" t="s">
        <v>44</v>
      </c>
      <c r="C382" t="s">
        <v>648</v>
      </c>
      <c r="E382" s="4">
        <v>46218</v>
      </c>
      <c r="F382" s="6">
        <f t="shared" si="11"/>
        <v>202629</v>
      </c>
    </row>
    <row r="383" spans="1:6" x14ac:dyDescent="0.25">
      <c r="A383" t="s">
        <v>11</v>
      </c>
      <c r="B383" t="s">
        <v>37</v>
      </c>
      <c r="C383" t="s">
        <v>649</v>
      </c>
      <c r="E383" s="2">
        <v>46219</v>
      </c>
      <c r="F383" s="3">
        <f t="shared" si="11"/>
        <v>202629</v>
      </c>
    </row>
    <row r="384" spans="1:6" x14ac:dyDescent="0.25">
      <c r="A384" t="s">
        <v>36</v>
      </c>
      <c r="B384" t="s">
        <v>236</v>
      </c>
      <c r="C384" t="s">
        <v>650</v>
      </c>
      <c r="E384" s="4">
        <v>46220</v>
      </c>
      <c r="F384" s="6">
        <f t="shared" si="11"/>
        <v>202629</v>
      </c>
    </row>
    <row r="385" spans="1:6" x14ac:dyDescent="0.25">
      <c r="A385" t="s">
        <v>18</v>
      </c>
      <c r="B385" t="s">
        <v>44</v>
      </c>
      <c r="C385" t="s">
        <v>651</v>
      </c>
      <c r="E385" s="2">
        <v>46221</v>
      </c>
      <c r="F385" s="3">
        <f t="shared" si="11"/>
        <v>202629</v>
      </c>
    </row>
    <row r="386" spans="1:6" x14ac:dyDescent="0.25">
      <c r="A386" t="s">
        <v>18</v>
      </c>
      <c r="B386" t="s">
        <v>236</v>
      </c>
      <c r="C386" t="s">
        <v>652</v>
      </c>
      <c r="E386" s="4">
        <v>46222</v>
      </c>
      <c r="F386" s="6">
        <f t="shared" si="11"/>
        <v>202630</v>
      </c>
    </row>
    <row r="387" spans="1:6" x14ac:dyDescent="0.25">
      <c r="A387" t="s">
        <v>18</v>
      </c>
      <c r="B387" t="s">
        <v>44</v>
      </c>
      <c r="C387" t="s">
        <v>653</v>
      </c>
      <c r="E387" s="2">
        <v>46223</v>
      </c>
      <c r="F387" s="3">
        <f t="shared" ref="F387:F450" si="12">_xlfn.CONCAT(YEAR(E387),TEXT(WEEKNUM(E387,1),"00"))*1</f>
        <v>202630</v>
      </c>
    </row>
    <row r="388" spans="1:6" x14ac:dyDescent="0.25">
      <c r="A388" t="s">
        <v>11</v>
      </c>
      <c r="B388" t="s">
        <v>44</v>
      </c>
      <c r="C388" t="s">
        <v>654</v>
      </c>
      <c r="E388" s="4">
        <v>46224</v>
      </c>
      <c r="F388" s="6">
        <f t="shared" si="12"/>
        <v>202630</v>
      </c>
    </row>
    <row r="389" spans="1:6" x14ac:dyDescent="0.25">
      <c r="A389" t="s">
        <v>36</v>
      </c>
      <c r="B389" t="s">
        <v>12</v>
      </c>
      <c r="C389" t="s">
        <v>655</v>
      </c>
      <c r="E389" s="2">
        <v>46225</v>
      </c>
      <c r="F389" s="3">
        <f t="shared" si="12"/>
        <v>202630</v>
      </c>
    </row>
    <row r="390" spans="1:6" x14ac:dyDescent="0.25">
      <c r="A390" t="s">
        <v>36</v>
      </c>
      <c r="B390" t="s">
        <v>37</v>
      </c>
      <c r="C390" t="s">
        <v>656</v>
      </c>
      <c r="E390" s="4">
        <v>46226</v>
      </c>
      <c r="F390" s="6">
        <f t="shared" si="12"/>
        <v>202630</v>
      </c>
    </row>
    <row r="391" spans="1:6" x14ac:dyDescent="0.25">
      <c r="A391" t="s">
        <v>18</v>
      </c>
      <c r="B391" t="s">
        <v>69</v>
      </c>
      <c r="C391" t="s">
        <v>657</v>
      </c>
      <c r="E391" s="2">
        <v>46227</v>
      </c>
      <c r="F391" s="3">
        <f t="shared" si="12"/>
        <v>202630</v>
      </c>
    </row>
    <row r="392" spans="1:6" x14ac:dyDescent="0.25">
      <c r="A392" t="s">
        <v>18</v>
      </c>
      <c r="B392" t="s">
        <v>119</v>
      </c>
      <c r="C392" t="s">
        <v>658</v>
      </c>
      <c r="E392" s="4">
        <v>46228</v>
      </c>
      <c r="F392" s="6">
        <f t="shared" si="12"/>
        <v>202630</v>
      </c>
    </row>
    <row r="393" spans="1:6" x14ac:dyDescent="0.25">
      <c r="A393" t="s">
        <v>18</v>
      </c>
      <c r="B393" t="s">
        <v>12</v>
      </c>
      <c r="C393" t="s">
        <v>659</v>
      </c>
      <c r="E393" s="2">
        <v>46229</v>
      </c>
      <c r="F393" s="3">
        <f t="shared" si="12"/>
        <v>202631</v>
      </c>
    </row>
    <row r="394" spans="1:6" x14ac:dyDescent="0.25">
      <c r="A394" t="s">
        <v>36</v>
      </c>
      <c r="B394" t="s">
        <v>59</v>
      </c>
      <c r="C394" t="s">
        <v>660</v>
      </c>
      <c r="E394" s="4">
        <v>46230</v>
      </c>
      <c r="F394" s="6">
        <f t="shared" si="12"/>
        <v>202631</v>
      </c>
    </row>
    <row r="395" spans="1:6" x14ac:dyDescent="0.25">
      <c r="A395" t="s">
        <v>36</v>
      </c>
      <c r="B395" t="s">
        <v>44</v>
      </c>
      <c r="C395" t="s">
        <v>661</v>
      </c>
      <c r="E395" s="2">
        <v>46231</v>
      </c>
      <c r="F395" s="3">
        <f t="shared" si="12"/>
        <v>202631</v>
      </c>
    </row>
    <row r="396" spans="1:6" x14ac:dyDescent="0.25">
      <c r="A396" t="s">
        <v>11</v>
      </c>
      <c r="B396" t="s">
        <v>24</v>
      </c>
      <c r="C396" t="s">
        <v>662</v>
      </c>
      <c r="E396" s="4">
        <v>46232</v>
      </c>
      <c r="F396" s="6">
        <f t="shared" si="12"/>
        <v>202631</v>
      </c>
    </row>
    <row r="397" spans="1:6" x14ac:dyDescent="0.25">
      <c r="A397" t="s">
        <v>18</v>
      </c>
      <c r="B397" t="s">
        <v>59</v>
      </c>
      <c r="C397" t="s">
        <v>663</v>
      </c>
      <c r="E397" s="2">
        <v>46233</v>
      </c>
      <c r="F397" s="3">
        <f t="shared" si="12"/>
        <v>202631</v>
      </c>
    </row>
    <row r="398" spans="1:6" x14ac:dyDescent="0.25">
      <c r="A398" t="s">
        <v>11</v>
      </c>
      <c r="B398" t="s">
        <v>180</v>
      </c>
      <c r="C398" t="s">
        <v>664</v>
      </c>
      <c r="E398" s="4">
        <v>46234</v>
      </c>
      <c r="F398" s="6">
        <f t="shared" si="12"/>
        <v>202631</v>
      </c>
    </row>
    <row r="399" spans="1:6" x14ac:dyDescent="0.25">
      <c r="A399" t="s">
        <v>36</v>
      </c>
      <c r="B399" t="s">
        <v>12</v>
      </c>
      <c r="C399" t="s">
        <v>665</v>
      </c>
      <c r="E399" s="2">
        <v>46235</v>
      </c>
      <c r="F399" s="3">
        <f t="shared" si="12"/>
        <v>202631</v>
      </c>
    </row>
    <row r="400" spans="1:6" x14ac:dyDescent="0.25">
      <c r="A400" t="s">
        <v>11</v>
      </c>
      <c r="B400" t="s">
        <v>59</v>
      </c>
      <c r="C400" t="s">
        <v>666</v>
      </c>
      <c r="E400" s="4">
        <v>46236</v>
      </c>
      <c r="F400" s="6">
        <f t="shared" si="12"/>
        <v>202632</v>
      </c>
    </row>
    <row r="401" spans="1:6" x14ac:dyDescent="0.25">
      <c r="A401" t="s">
        <v>18</v>
      </c>
      <c r="B401" t="s">
        <v>236</v>
      </c>
      <c r="C401" t="s">
        <v>667</v>
      </c>
      <c r="E401" s="2">
        <v>46237</v>
      </c>
      <c r="F401" s="3">
        <f t="shared" si="12"/>
        <v>202632</v>
      </c>
    </row>
    <row r="402" spans="1:6" x14ac:dyDescent="0.25">
      <c r="A402" t="s">
        <v>36</v>
      </c>
      <c r="B402" t="s">
        <v>12</v>
      </c>
      <c r="C402" t="s">
        <v>668</v>
      </c>
      <c r="E402" s="4">
        <v>46238</v>
      </c>
      <c r="F402" s="6">
        <f t="shared" si="12"/>
        <v>202632</v>
      </c>
    </row>
    <row r="403" spans="1:6" x14ac:dyDescent="0.25">
      <c r="A403" t="s">
        <v>11</v>
      </c>
      <c r="B403" t="s">
        <v>12</v>
      </c>
      <c r="C403" t="s">
        <v>669</v>
      </c>
      <c r="E403" s="2">
        <v>46239</v>
      </c>
      <c r="F403" s="3">
        <f t="shared" si="12"/>
        <v>202632</v>
      </c>
    </row>
    <row r="404" spans="1:6" x14ac:dyDescent="0.25">
      <c r="A404" t="s">
        <v>11</v>
      </c>
      <c r="B404" t="s">
        <v>69</v>
      </c>
      <c r="C404" t="s">
        <v>670</v>
      </c>
      <c r="E404" s="4">
        <v>46240</v>
      </c>
      <c r="F404" s="6">
        <f t="shared" si="12"/>
        <v>202632</v>
      </c>
    </row>
    <row r="405" spans="1:6" x14ac:dyDescent="0.25">
      <c r="A405" t="s">
        <v>18</v>
      </c>
      <c r="B405" t="s">
        <v>119</v>
      </c>
      <c r="C405" t="s">
        <v>671</v>
      </c>
      <c r="E405" s="2">
        <v>46241</v>
      </c>
      <c r="F405" s="3">
        <f t="shared" si="12"/>
        <v>202632</v>
      </c>
    </row>
    <row r="406" spans="1:6" x14ac:dyDescent="0.25">
      <c r="A406" t="s">
        <v>36</v>
      </c>
      <c r="B406" t="s">
        <v>12</v>
      </c>
      <c r="C406" t="s">
        <v>672</v>
      </c>
      <c r="E406" s="4">
        <v>46242</v>
      </c>
      <c r="F406" s="6">
        <f t="shared" si="12"/>
        <v>202632</v>
      </c>
    </row>
    <row r="407" spans="1:6" x14ac:dyDescent="0.25">
      <c r="A407" t="s">
        <v>18</v>
      </c>
      <c r="B407" t="s">
        <v>69</v>
      </c>
      <c r="C407" t="s">
        <v>673</v>
      </c>
      <c r="E407" s="2">
        <v>46243</v>
      </c>
      <c r="F407" s="3">
        <f t="shared" si="12"/>
        <v>202633</v>
      </c>
    </row>
    <row r="408" spans="1:6" x14ac:dyDescent="0.25">
      <c r="A408" t="s">
        <v>11</v>
      </c>
      <c r="B408" t="s">
        <v>32</v>
      </c>
      <c r="C408" t="s">
        <v>674</v>
      </c>
      <c r="E408" s="4">
        <v>46244</v>
      </c>
      <c r="F408" s="6">
        <f t="shared" si="12"/>
        <v>202633</v>
      </c>
    </row>
    <row r="409" spans="1:6" x14ac:dyDescent="0.25">
      <c r="A409" t="s">
        <v>36</v>
      </c>
      <c r="B409" t="s">
        <v>119</v>
      </c>
      <c r="C409" t="s">
        <v>675</v>
      </c>
      <c r="E409" s="2">
        <v>46245</v>
      </c>
      <c r="F409" s="3">
        <f t="shared" si="12"/>
        <v>202633</v>
      </c>
    </row>
    <row r="410" spans="1:6" x14ac:dyDescent="0.25">
      <c r="A410" t="s">
        <v>18</v>
      </c>
      <c r="B410" t="s">
        <v>119</v>
      </c>
      <c r="C410" t="s">
        <v>676</v>
      </c>
      <c r="E410" s="4">
        <v>46246</v>
      </c>
      <c r="F410" s="6">
        <f t="shared" si="12"/>
        <v>202633</v>
      </c>
    </row>
    <row r="411" spans="1:6" x14ac:dyDescent="0.25">
      <c r="A411" t="s">
        <v>36</v>
      </c>
      <c r="B411" t="s">
        <v>69</v>
      </c>
      <c r="C411" t="s">
        <v>677</v>
      </c>
      <c r="E411" s="2">
        <v>46247</v>
      </c>
      <c r="F411" s="3">
        <f t="shared" si="12"/>
        <v>202633</v>
      </c>
    </row>
    <row r="412" spans="1:6" x14ac:dyDescent="0.25">
      <c r="A412" t="s">
        <v>18</v>
      </c>
      <c r="B412" t="s">
        <v>227</v>
      </c>
      <c r="C412" t="s">
        <v>678</v>
      </c>
      <c r="E412" s="4">
        <v>46248</v>
      </c>
      <c r="F412" s="6">
        <f t="shared" si="12"/>
        <v>202633</v>
      </c>
    </row>
    <row r="413" spans="1:6" x14ac:dyDescent="0.25">
      <c r="A413" t="s">
        <v>18</v>
      </c>
      <c r="B413" t="s">
        <v>119</v>
      </c>
      <c r="C413" t="s">
        <v>679</v>
      </c>
      <c r="E413" s="2">
        <v>46249</v>
      </c>
      <c r="F413" s="3">
        <f t="shared" si="12"/>
        <v>202633</v>
      </c>
    </row>
    <row r="414" spans="1:6" x14ac:dyDescent="0.25">
      <c r="A414" t="s">
        <v>11</v>
      </c>
      <c r="B414" t="s">
        <v>32</v>
      </c>
      <c r="C414" t="s">
        <v>680</v>
      </c>
      <c r="E414" s="4">
        <v>46250</v>
      </c>
      <c r="F414" s="6">
        <f t="shared" si="12"/>
        <v>202634</v>
      </c>
    </row>
    <row r="415" spans="1:6" x14ac:dyDescent="0.25">
      <c r="A415" t="s">
        <v>11</v>
      </c>
      <c r="B415" t="s">
        <v>12</v>
      </c>
      <c r="C415" t="s">
        <v>681</v>
      </c>
      <c r="E415" s="2">
        <v>46251</v>
      </c>
      <c r="F415" s="3">
        <f t="shared" si="12"/>
        <v>202634</v>
      </c>
    </row>
    <row r="416" spans="1:6" x14ac:dyDescent="0.25">
      <c r="A416" t="s">
        <v>36</v>
      </c>
      <c r="B416" t="s">
        <v>59</v>
      </c>
      <c r="C416" t="s">
        <v>682</v>
      </c>
      <c r="E416" s="4">
        <v>46252</v>
      </c>
      <c r="F416" s="6">
        <f t="shared" si="12"/>
        <v>202634</v>
      </c>
    </row>
    <row r="417" spans="1:6" x14ac:dyDescent="0.25">
      <c r="A417" t="s">
        <v>36</v>
      </c>
      <c r="B417" t="s">
        <v>119</v>
      </c>
      <c r="C417" t="s">
        <v>683</v>
      </c>
      <c r="E417" s="2">
        <v>46253</v>
      </c>
      <c r="F417" s="3">
        <f t="shared" si="12"/>
        <v>202634</v>
      </c>
    </row>
    <row r="418" spans="1:6" x14ac:dyDescent="0.25">
      <c r="A418" t="s">
        <v>11</v>
      </c>
      <c r="B418" t="s">
        <v>119</v>
      </c>
      <c r="C418" t="s">
        <v>684</v>
      </c>
      <c r="E418" s="4">
        <v>46254</v>
      </c>
      <c r="F418" s="6">
        <f t="shared" si="12"/>
        <v>202634</v>
      </c>
    </row>
    <row r="419" spans="1:6" x14ac:dyDescent="0.25">
      <c r="A419" t="s">
        <v>11</v>
      </c>
      <c r="B419" t="s">
        <v>59</v>
      </c>
      <c r="C419" t="s">
        <v>685</v>
      </c>
      <c r="E419" s="2">
        <v>46255</v>
      </c>
      <c r="F419" s="3">
        <f t="shared" si="12"/>
        <v>202634</v>
      </c>
    </row>
    <row r="420" spans="1:6" x14ac:dyDescent="0.25">
      <c r="A420" t="s">
        <v>11</v>
      </c>
      <c r="B420" t="s">
        <v>180</v>
      </c>
      <c r="C420" t="s">
        <v>686</v>
      </c>
      <c r="E420" s="4">
        <v>46256</v>
      </c>
      <c r="F420" s="6">
        <f t="shared" si="12"/>
        <v>202634</v>
      </c>
    </row>
    <row r="421" spans="1:6" x14ac:dyDescent="0.25">
      <c r="A421" t="s">
        <v>18</v>
      </c>
      <c r="B421" t="s">
        <v>24</v>
      </c>
      <c r="C421" t="s">
        <v>687</v>
      </c>
      <c r="E421" s="2">
        <v>46257</v>
      </c>
      <c r="F421" s="3">
        <f t="shared" si="12"/>
        <v>202635</v>
      </c>
    </row>
    <row r="422" spans="1:6" x14ac:dyDescent="0.25">
      <c r="A422" t="s">
        <v>18</v>
      </c>
      <c r="B422" t="s">
        <v>37</v>
      </c>
      <c r="C422" t="s">
        <v>688</v>
      </c>
      <c r="E422" s="4">
        <v>46258</v>
      </c>
      <c r="F422" s="6">
        <f t="shared" si="12"/>
        <v>202635</v>
      </c>
    </row>
    <row r="423" spans="1:6" x14ac:dyDescent="0.25">
      <c r="A423" t="s">
        <v>18</v>
      </c>
      <c r="B423" t="s">
        <v>24</v>
      </c>
      <c r="C423" t="s">
        <v>689</v>
      </c>
      <c r="E423" s="2">
        <v>46259</v>
      </c>
      <c r="F423" s="3">
        <f t="shared" si="12"/>
        <v>202635</v>
      </c>
    </row>
    <row r="424" spans="1:6" x14ac:dyDescent="0.25">
      <c r="A424" t="s">
        <v>11</v>
      </c>
      <c r="B424" t="s">
        <v>119</v>
      </c>
      <c r="C424" t="s">
        <v>690</v>
      </c>
      <c r="E424" s="4">
        <v>46260</v>
      </c>
      <c r="F424" s="6">
        <f t="shared" si="12"/>
        <v>202635</v>
      </c>
    </row>
    <row r="425" spans="1:6" x14ac:dyDescent="0.25">
      <c r="A425" t="s">
        <v>18</v>
      </c>
      <c r="B425" t="s">
        <v>37</v>
      </c>
      <c r="C425" t="s">
        <v>691</v>
      </c>
      <c r="E425" s="2">
        <v>46261</v>
      </c>
      <c r="F425" s="3">
        <f t="shared" si="12"/>
        <v>202635</v>
      </c>
    </row>
    <row r="426" spans="1:6" x14ac:dyDescent="0.25">
      <c r="A426" t="s">
        <v>18</v>
      </c>
      <c r="B426" t="s">
        <v>37</v>
      </c>
      <c r="C426" t="s">
        <v>692</v>
      </c>
      <c r="E426" s="4">
        <v>46262</v>
      </c>
      <c r="F426" s="6">
        <f t="shared" si="12"/>
        <v>202635</v>
      </c>
    </row>
    <row r="427" spans="1:6" x14ac:dyDescent="0.25">
      <c r="A427" t="s">
        <v>18</v>
      </c>
      <c r="B427" t="s">
        <v>69</v>
      </c>
      <c r="C427" t="s">
        <v>693</v>
      </c>
      <c r="E427" s="2">
        <v>46263</v>
      </c>
      <c r="F427" s="3">
        <f t="shared" si="12"/>
        <v>202635</v>
      </c>
    </row>
    <row r="428" spans="1:6" x14ac:dyDescent="0.25">
      <c r="A428" t="s">
        <v>11</v>
      </c>
      <c r="B428" t="s">
        <v>348</v>
      </c>
      <c r="C428" t="s">
        <v>694</v>
      </c>
      <c r="E428" s="4">
        <v>46264</v>
      </c>
      <c r="F428" s="6">
        <f t="shared" si="12"/>
        <v>202636</v>
      </c>
    </row>
    <row r="429" spans="1:6" x14ac:dyDescent="0.25">
      <c r="A429" t="s">
        <v>11</v>
      </c>
      <c r="B429" t="s">
        <v>119</v>
      </c>
      <c r="C429" t="s">
        <v>695</v>
      </c>
      <c r="E429" s="2">
        <v>46265</v>
      </c>
      <c r="F429" s="3">
        <f t="shared" si="12"/>
        <v>202636</v>
      </c>
    </row>
    <row r="430" spans="1:6" x14ac:dyDescent="0.25">
      <c r="A430" t="s">
        <v>36</v>
      </c>
      <c r="B430" t="s">
        <v>119</v>
      </c>
      <c r="C430" t="s">
        <v>696</v>
      </c>
      <c r="E430" s="4">
        <v>46266</v>
      </c>
      <c r="F430" s="6">
        <f t="shared" si="12"/>
        <v>202636</v>
      </c>
    </row>
    <row r="431" spans="1:6" x14ac:dyDescent="0.25">
      <c r="A431" t="s">
        <v>36</v>
      </c>
      <c r="B431" t="s">
        <v>44</v>
      </c>
      <c r="C431" t="s">
        <v>697</v>
      </c>
      <c r="E431" s="2">
        <v>46267</v>
      </c>
      <c r="F431" s="3">
        <f t="shared" si="12"/>
        <v>202636</v>
      </c>
    </row>
    <row r="432" spans="1:6" x14ac:dyDescent="0.25">
      <c r="A432" t="s">
        <v>18</v>
      </c>
      <c r="B432" t="s">
        <v>49</v>
      </c>
      <c r="C432" t="s">
        <v>698</v>
      </c>
      <c r="E432" s="4">
        <v>46268</v>
      </c>
      <c r="F432" s="6">
        <f t="shared" si="12"/>
        <v>202636</v>
      </c>
    </row>
    <row r="433" spans="1:6" x14ac:dyDescent="0.25">
      <c r="A433" t="s">
        <v>36</v>
      </c>
      <c r="B433" t="s">
        <v>49</v>
      </c>
      <c r="C433" t="s">
        <v>699</v>
      </c>
      <c r="E433" s="2">
        <v>46269</v>
      </c>
      <c r="F433" s="3">
        <f t="shared" si="12"/>
        <v>202636</v>
      </c>
    </row>
    <row r="434" spans="1:6" x14ac:dyDescent="0.25">
      <c r="A434" t="s">
        <v>11</v>
      </c>
      <c r="B434" t="s">
        <v>12</v>
      </c>
      <c r="C434" t="s">
        <v>700</v>
      </c>
      <c r="E434" s="4">
        <v>46270</v>
      </c>
      <c r="F434" s="6">
        <f t="shared" si="12"/>
        <v>202636</v>
      </c>
    </row>
    <row r="435" spans="1:6" x14ac:dyDescent="0.25">
      <c r="A435" t="s">
        <v>36</v>
      </c>
      <c r="B435" t="s">
        <v>12</v>
      </c>
      <c r="C435" t="s">
        <v>701</v>
      </c>
      <c r="E435" s="2">
        <v>46271</v>
      </c>
      <c r="F435" s="3">
        <f t="shared" si="12"/>
        <v>202637</v>
      </c>
    </row>
    <row r="436" spans="1:6" x14ac:dyDescent="0.25">
      <c r="A436" t="s">
        <v>18</v>
      </c>
      <c r="B436" t="s">
        <v>12</v>
      </c>
      <c r="C436" t="s">
        <v>702</v>
      </c>
      <c r="E436" s="4">
        <v>46272</v>
      </c>
      <c r="F436" s="6">
        <f t="shared" si="12"/>
        <v>202637</v>
      </c>
    </row>
    <row r="437" spans="1:6" x14ac:dyDescent="0.25">
      <c r="A437" t="s">
        <v>36</v>
      </c>
      <c r="B437" t="s">
        <v>12</v>
      </c>
      <c r="C437" t="s">
        <v>703</v>
      </c>
      <c r="E437" s="2">
        <v>46273</v>
      </c>
      <c r="F437" s="3">
        <f t="shared" si="12"/>
        <v>202637</v>
      </c>
    </row>
    <row r="438" spans="1:6" x14ac:dyDescent="0.25">
      <c r="A438" t="s">
        <v>18</v>
      </c>
      <c r="B438" t="s">
        <v>12</v>
      </c>
      <c r="C438" t="s">
        <v>704</v>
      </c>
      <c r="E438" s="4">
        <v>46274</v>
      </c>
      <c r="F438" s="6">
        <f t="shared" si="12"/>
        <v>202637</v>
      </c>
    </row>
    <row r="439" spans="1:6" x14ac:dyDescent="0.25">
      <c r="A439" t="s">
        <v>18</v>
      </c>
      <c r="B439" t="s">
        <v>37</v>
      </c>
      <c r="C439" t="s">
        <v>705</v>
      </c>
      <c r="E439" s="2">
        <v>46275</v>
      </c>
      <c r="F439" s="3">
        <f t="shared" si="12"/>
        <v>202637</v>
      </c>
    </row>
    <row r="440" spans="1:6" x14ac:dyDescent="0.25">
      <c r="A440" t="s">
        <v>36</v>
      </c>
      <c r="B440" t="s">
        <v>32</v>
      </c>
      <c r="C440" t="s">
        <v>706</v>
      </c>
      <c r="E440" s="4">
        <v>46276</v>
      </c>
      <c r="F440" s="6">
        <f t="shared" si="12"/>
        <v>202637</v>
      </c>
    </row>
    <row r="441" spans="1:6" x14ac:dyDescent="0.25">
      <c r="A441" t="s">
        <v>18</v>
      </c>
      <c r="B441" t="s">
        <v>44</v>
      </c>
      <c r="C441" t="s">
        <v>707</v>
      </c>
      <c r="E441" s="2">
        <v>46277</v>
      </c>
      <c r="F441" s="3">
        <f t="shared" si="12"/>
        <v>202637</v>
      </c>
    </row>
    <row r="442" spans="1:6" x14ac:dyDescent="0.25">
      <c r="A442" t="s">
        <v>36</v>
      </c>
      <c r="B442" t="s">
        <v>44</v>
      </c>
      <c r="C442" t="s">
        <v>708</v>
      </c>
      <c r="E442" s="4">
        <v>46278</v>
      </c>
      <c r="F442" s="6">
        <f t="shared" si="12"/>
        <v>202638</v>
      </c>
    </row>
    <row r="443" spans="1:6" x14ac:dyDescent="0.25">
      <c r="A443" t="s">
        <v>36</v>
      </c>
      <c r="B443" t="s">
        <v>44</v>
      </c>
      <c r="C443" t="s">
        <v>709</v>
      </c>
      <c r="E443" s="2">
        <v>46279</v>
      </c>
      <c r="F443" s="3">
        <f t="shared" si="12"/>
        <v>202638</v>
      </c>
    </row>
    <row r="444" spans="1:6" x14ac:dyDescent="0.25">
      <c r="A444" t="s">
        <v>11</v>
      </c>
      <c r="B444" t="s">
        <v>44</v>
      </c>
      <c r="C444" t="s">
        <v>710</v>
      </c>
      <c r="E444" s="4">
        <v>46280</v>
      </c>
      <c r="F444" s="6">
        <f t="shared" si="12"/>
        <v>202638</v>
      </c>
    </row>
    <row r="445" spans="1:6" x14ac:dyDescent="0.25">
      <c r="A445" t="s">
        <v>11</v>
      </c>
      <c r="B445" t="s">
        <v>44</v>
      </c>
      <c r="C445" t="s">
        <v>711</v>
      </c>
      <c r="E445" s="2">
        <v>46281</v>
      </c>
      <c r="F445" s="3">
        <f t="shared" si="12"/>
        <v>202638</v>
      </c>
    </row>
    <row r="446" spans="1:6" x14ac:dyDescent="0.25">
      <c r="A446" t="s">
        <v>36</v>
      </c>
      <c r="B446" t="s">
        <v>49</v>
      </c>
      <c r="C446" t="s">
        <v>712</v>
      </c>
      <c r="E446" s="4">
        <v>46282</v>
      </c>
      <c r="F446" s="6">
        <f t="shared" si="12"/>
        <v>202638</v>
      </c>
    </row>
    <row r="447" spans="1:6" x14ac:dyDescent="0.25">
      <c r="A447" t="s">
        <v>18</v>
      </c>
      <c r="B447" t="s">
        <v>69</v>
      </c>
      <c r="C447" t="s">
        <v>713</v>
      </c>
      <c r="E447" s="2">
        <v>46283</v>
      </c>
      <c r="F447" s="3">
        <f t="shared" si="12"/>
        <v>202638</v>
      </c>
    </row>
    <row r="448" spans="1:6" x14ac:dyDescent="0.25">
      <c r="A448" t="s">
        <v>18</v>
      </c>
      <c r="B448" t="s">
        <v>44</v>
      </c>
      <c r="C448" t="s">
        <v>714</v>
      </c>
      <c r="E448" s="4">
        <v>46284</v>
      </c>
      <c r="F448" s="6">
        <f t="shared" si="12"/>
        <v>202638</v>
      </c>
    </row>
    <row r="449" spans="1:6" x14ac:dyDescent="0.25">
      <c r="A449" t="s">
        <v>36</v>
      </c>
      <c r="B449" t="s">
        <v>44</v>
      </c>
      <c r="C449" t="s">
        <v>715</v>
      </c>
      <c r="E449" s="2">
        <v>46285</v>
      </c>
      <c r="F449" s="3">
        <f t="shared" si="12"/>
        <v>202639</v>
      </c>
    </row>
    <row r="450" spans="1:6" x14ac:dyDescent="0.25">
      <c r="A450" t="s">
        <v>18</v>
      </c>
      <c r="B450" t="s">
        <v>12</v>
      </c>
      <c r="C450" t="s">
        <v>716</v>
      </c>
      <c r="E450" s="4">
        <v>46286</v>
      </c>
      <c r="F450" s="6">
        <f t="shared" si="12"/>
        <v>202639</v>
      </c>
    </row>
    <row r="451" spans="1:6" x14ac:dyDescent="0.25">
      <c r="A451" t="s">
        <v>18</v>
      </c>
      <c r="B451" t="s">
        <v>49</v>
      </c>
      <c r="C451" t="s">
        <v>717</v>
      </c>
      <c r="E451" s="2">
        <v>46287</v>
      </c>
      <c r="F451" s="3">
        <f t="shared" ref="F451:F514" si="13">_xlfn.CONCAT(YEAR(E451),TEXT(WEEKNUM(E451,1),"00"))*1</f>
        <v>202639</v>
      </c>
    </row>
    <row r="452" spans="1:6" x14ac:dyDescent="0.25">
      <c r="A452" t="s">
        <v>18</v>
      </c>
      <c r="B452" t="s">
        <v>49</v>
      </c>
      <c r="C452" t="s">
        <v>718</v>
      </c>
      <c r="E452" s="4">
        <v>46288</v>
      </c>
      <c r="F452" s="6">
        <f t="shared" si="13"/>
        <v>202639</v>
      </c>
    </row>
    <row r="453" spans="1:6" x14ac:dyDescent="0.25">
      <c r="A453" t="s">
        <v>18</v>
      </c>
      <c r="B453" t="s">
        <v>44</v>
      </c>
      <c r="C453" t="s">
        <v>719</v>
      </c>
      <c r="E453" s="2">
        <v>46289</v>
      </c>
      <c r="F453" s="3">
        <f t="shared" si="13"/>
        <v>202639</v>
      </c>
    </row>
    <row r="454" spans="1:6" x14ac:dyDescent="0.25">
      <c r="A454" t="s">
        <v>18</v>
      </c>
      <c r="B454" t="s">
        <v>12</v>
      </c>
      <c r="C454" t="s">
        <v>720</v>
      </c>
      <c r="E454" s="4">
        <v>46290</v>
      </c>
      <c r="F454" s="6">
        <f t="shared" si="13"/>
        <v>202639</v>
      </c>
    </row>
    <row r="455" spans="1:6" x14ac:dyDescent="0.25">
      <c r="A455" t="s">
        <v>36</v>
      </c>
      <c r="B455" t="s">
        <v>44</v>
      </c>
      <c r="C455" t="s">
        <v>721</v>
      </c>
      <c r="E455" s="2">
        <v>46291</v>
      </c>
      <c r="F455" s="3">
        <f t="shared" si="13"/>
        <v>202639</v>
      </c>
    </row>
    <row r="456" spans="1:6" x14ac:dyDescent="0.25">
      <c r="A456" t="s">
        <v>18</v>
      </c>
      <c r="B456" t="s">
        <v>119</v>
      </c>
      <c r="C456" t="s">
        <v>722</v>
      </c>
      <c r="E456" s="4">
        <v>46292</v>
      </c>
      <c r="F456" s="6">
        <f t="shared" si="13"/>
        <v>202640</v>
      </c>
    </row>
    <row r="457" spans="1:6" x14ac:dyDescent="0.25">
      <c r="E457" s="2">
        <v>46293</v>
      </c>
      <c r="F457" s="3">
        <f t="shared" si="13"/>
        <v>202640</v>
      </c>
    </row>
    <row r="458" spans="1:6" x14ac:dyDescent="0.25">
      <c r="E458" s="4">
        <v>46294</v>
      </c>
      <c r="F458" s="6">
        <f t="shared" si="13"/>
        <v>202640</v>
      </c>
    </row>
    <row r="459" spans="1:6" x14ac:dyDescent="0.25">
      <c r="E459" s="2">
        <v>46295</v>
      </c>
      <c r="F459" s="3">
        <f t="shared" si="13"/>
        <v>202640</v>
      </c>
    </row>
    <row r="460" spans="1:6" x14ac:dyDescent="0.25">
      <c r="E460" s="4">
        <v>46296</v>
      </c>
      <c r="F460" s="6">
        <f t="shared" si="13"/>
        <v>202640</v>
      </c>
    </row>
    <row r="461" spans="1:6" x14ac:dyDescent="0.25">
      <c r="E461" s="2">
        <v>46297</v>
      </c>
      <c r="F461" s="3">
        <f t="shared" si="13"/>
        <v>202640</v>
      </c>
    </row>
    <row r="462" spans="1:6" x14ac:dyDescent="0.25">
      <c r="E462" s="4">
        <v>46298</v>
      </c>
      <c r="F462" s="6">
        <f t="shared" si="13"/>
        <v>202640</v>
      </c>
    </row>
    <row r="463" spans="1:6" x14ac:dyDescent="0.25">
      <c r="E463" s="2">
        <v>46299</v>
      </c>
      <c r="F463" s="3">
        <f t="shared" si="13"/>
        <v>202641</v>
      </c>
    </row>
    <row r="464" spans="1:6" x14ac:dyDescent="0.25">
      <c r="E464" s="4">
        <v>46300</v>
      </c>
      <c r="F464" s="6">
        <f t="shared" si="13"/>
        <v>202641</v>
      </c>
    </row>
    <row r="465" spans="5:6" x14ac:dyDescent="0.25">
      <c r="E465" s="2">
        <v>46301</v>
      </c>
      <c r="F465" s="3">
        <f t="shared" si="13"/>
        <v>202641</v>
      </c>
    </row>
    <row r="466" spans="5:6" x14ac:dyDescent="0.25">
      <c r="E466" s="4">
        <v>46302</v>
      </c>
      <c r="F466" s="6">
        <f t="shared" si="13"/>
        <v>202641</v>
      </c>
    </row>
    <row r="467" spans="5:6" x14ac:dyDescent="0.25">
      <c r="E467" s="2">
        <v>46303</v>
      </c>
      <c r="F467" s="3">
        <f t="shared" si="13"/>
        <v>202641</v>
      </c>
    </row>
    <row r="468" spans="5:6" x14ac:dyDescent="0.25">
      <c r="E468" s="4">
        <v>46304</v>
      </c>
      <c r="F468" s="6">
        <f t="shared" si="13"/>
        <v>202641</v>
      </c>
    </row>
    <row r="469" spans="5:6" x14ac:dyDescent="0.25">
      <c r="E469" s="2">
        <v>46305</v>
      </c>
      <c r="F469" s="3">
        <f t="shared" si="13"/>
        <v>202641</v>
      </c>
    </row>
    <row r="470" spans="5:6" x14ac:dyDescent="0.25">
      <c r="E470" s="4">
        <v>46306</v>
      </c>
      <c r="F470" s="6">
        <f t="shared" si="13"/>
        <v>202642</v>
      </c>
    </row>
    <row r="471" spans="5:6" x14ac:dyDescent="0.25">
      <c r="E471" s="2">
        <v>46307</v>
      </c>
      <c r="F471" s="3">
        <f t="shared" si="13"/>
        <v>202642</v>
      </c>
    </row>
    <row r="472" spans="5:6" x14ac:dyDescent="0.25">
      <c r="E472" s="4">
        <v>46308</v>
      </c>
      <c r="F472" s="6">
        <f t="shared" si="13"/>
        <v>202642</v>
      </c>
    </row>
    <row r="473" spans="5:6" x14ac:dyDescent="0.25">
      <c r="E473" s="2">
        <v>46309</v>
      </c>
      <c r="F473" s="3">
        <f t="shared" si="13"/>
        <v>202642</v>
      </c>
    </row>
    <row r="474" spans="5:6" x14ac:dyDescent="0.25">
      <c r="E474" s="4">
        <v>46310</v>
      </c>
      <c r="F474" s="6">
        <f t="shared" si="13"/>
        <v>202642</v>
      </c>
    </row>
    <row r="475" spans="5:6" x14ac:dyDescent="0.25">
      <c r="E475" s="2">
        <v>46311</v>
      </c>
      <c r="F475" s="3">
        <f t="shared" si="13"/>
        <v>202642</v>
      </c>
    </row>
    <row r="476" spans="5:6" x14ac:dyDescent="0.25">
      <c r="E476" s="4">
        <v>46312</v>
      </c>
      <c r="F476" s="6">
        <f t="shared" si="13"/>
        <v>202642</v>
      </c>
    </row>
    <row r="477" spans="5:6" x14ac:dyDescent="0.25">
      <c r="E477" s="2">
        <v>46313</v>
      </c>
      <c r="F477" s="3">
        <f t="shared" si="13"/>
        <v>202643</v>
      </c>
    </row>
    <row r="478" spans="5:6" x14ac:dyDescent="0.25">
      <c r="E478" s="4">
        <v>46314</v>
      </c>
      <c r="F478" s="6">
        <f t="shared" si="13"/>
        <v>202643</v>
      </c>
    </row>
    <row r="479" spans="5:6" x14ac:dyDescent="0.25">
      <c r="E479" s="2">
        <v>46315</v>
      </c>
      <c r="F479" s="3">
        <f t="shared" si="13"/>
        <v>202643</v>
      </c>
    </row>
    <row r="480" spans="5:6" x14ac:dyDescent="0.25">
      <c r="E480" s="4">
        <v>46316</v>
      </c>
      <c r="F480" s="6">
        <f t="shared" si="13"/>
        <v>202643</v>
      </c>
    </row>
    <row r="481" spans="5:6" x14ac:dyDescent="0.25">
      <c r="E481" s="2">
        <v>46317</v>
      </c>
      <c r="F481" s="3">
        <f t="shared" si="13"/>
        <v>202643</v>
      </c>
    </row>
    <row r="482" spans="5:6" x14ac:dyDescent="0.25">
      <c r="E482" s="4">
        <v>46318</v>
      </c>
      <c r="F482" s="6">
        <f t="shared" si="13"/>
        <v>202643</v>
      </c>
    </row>
    <row r="483" spans="5:6" x14ac:dyDescent="0.25">
      <c r="E483" s="2">
        <v>46319</v>
      </c>
      <c r="F483" s="3">
        <f t="shared" si="13"/>
        <v>202643</v>
      </c>
    </row>
    <row r="484" spans="5:6" x14ac:dyDescent="0.25">
      <c r="E484" s="4">
        <v>46320</v>
      </c>
      <c r="F484" s="6">
        <f t="shared" si="13"/>
        <v>202644</v>
      </c>
    </row>
    <row r="485" spans="5:6" x14ac:dyDescent="0.25">
      <c r="E485" s="2">
        <v>46321</v>
      </c>
      <c r="F485" s="3">
        <f t="shared" si="13"/>
        <v>202644</v>
      </c>
    </row>
    <row r="486" spans="5:6" x14ac:dyDescent="0.25">
      <c r="E486" s="4">
        <v>46322</v>
      </c>
      <c r="F486" s="6">
        <f t="shared" si="13"/>
        <v>202644</v>
      </c>
    </row>
    <row r="487" spans="5:6" x14ac:dyDescent="0.25">
      <c r="E487" s="2">
        <v>46323</v>
      </c>
      <c r="F487" s="3">
        <f t="shared" si="13"/>
        <v>202644</v>
      </c>
    </row>
    <row r="488" spans="5:6" x14ac:dyDescent="0.25">
      <c r="E488" s="4">
        <v>46324</v>
      </c>
      <c r="F488" s="6">
        <f t="shared" si="13"/>
        <v>202644</v>
      </c>
    </row>
    <row r="489" spans="5:6" x14ac:dyDescent="0.25">
      <c r="E489" s="2">
        <v>46325</v>
      </c>
      <c r="F489" s="3">
        <f t="shared" si="13"/>
        <v>202644</v>
      </c>
    </row>
    <row r="490" spans="5:6" x14ac:dyDescent="0.25">
      <c r="E490" s="4">
        <v>46326</v>
      </c>
      <c r="F490" s="6">
        <f t="shared" si="13"/>
        <v>202644</v>
      </c>
    </row>
    <row r="491" spans="5:6" x14ac:dyDescent="0.25">
      <c r="E491" s="2">
        <v>46327</v>
      </c>
      <c r="F491" s="3">
        <f t="shared" si="13"/>
        <v>202645</v>
      </c>
    </row>
    <row r="492" spans="5:6" x14ac:dyDescent="0.25">
      <c r="E492" s="4">
        <v>46328</v>
      </c>
      <c r="F492" s="6">
        <f t="shared" si="13"/>
        <v>202645</v>
      </c>
    </row>
    <row r="493" spans="5:6" x14ac:dyDescent="0.25">
      <c r="E493" s="2">
        <v>46329</v>
      </c>
      <c r="F493" s="3">
        <f t="shared" si="13"/>
        <v>202645</v>
      </c>
    </row>
    <row r="494" spans="5:6" x14ac:dyDescent="0.25">
      <c r="E494" s="4">
        <v>46330</v>
      </c>
      <c r="F494" s="6">
        <f t="shared" si="13"/>
        <v>202645</v>
      </c>
    </row>
    <row r="495" spans="5:6" x14ac:dyDescent="0.25">
      <c r="E495" s="2">
        <v>46331</v>
      </c>
      <c r="F495" s="3">
        <f t="shared" si="13"/>
        <v>202645</v>
      </c>
    </row>
    <row r="496" spans="5:6" x14ac:dyDescent="0.25">
      <c r="E496" s="4">
        <v>46332</v>
      </c>
      <c r="F496" s="6">
        <f t="shared" si="13"/>
        <v>202645</v>
      </c>
    </row>
    <row r="497" spans="5:6" x14ac:dyDescent="0.25">
      <c r="E497" s="2">
        <v>46333</v>
      </c>
      <c r="F497" s="3">
        <f t="shared" si="13"/>
        <v>202645</v>
      </c>
    </row>
    <row r="498" spans="5:6" x14ac:dyDescent="0.25">
      <c r="E498" s="4">
        <v>46334</v>
      </c>
      <c r="F498" s="6">
        <f t="shared" si="13"/>
        <v>202646</v>
      </c>
    </row>
    <row r="499" spans="5:6" x14ac:dyDescent="0.25">
      <c r="E499" s="2">
        <v>46335</v>
      </c>
      <c r="F499" s="3">
        <f t="shared" si="13"/>
        <v>202646</v>
      </c>
    </row>
    <row r="500" spans="5:6" x14ac:dyDescent="0.25">
      <c r="E500" s="4">
        <v>46336</v>
      </c>
      <c r="F500" s="6">
        <f t="shared" si="13"/>
        <v>202646</v>
      </c>
    </row>
    <row r="501" spans="5:6" x14ac:dyDescent="0.25">
      <c r="E501" s="2">
        <v>46337</v>
      </c>
      <c r="F501" s="3">
        <f t="shared" si="13"/>
        <v>202646</v>
      </c>
    </row>
    <row r="502" spans="5:6" x14ac:dyDescent="0.25">
      <c r="E502" s="4">
        <v>46338</v>
      </c>
      <c r="F502" s="6">
        <f t="shared" si="13"/>
        <v>202646</v>
      </c>
    </row>
    <row r="503" spans="5:6" x14ac:dyDescent="0.25">
      <c r="E503" s="2">
        <v>46339</v>
      </c>
      <c r="F503" s="3">
        <f t="shared" si="13"/>
        <v>202646</v>
      </c>
    </row>
    <row r="504" spans="5:6" x14ac:dyDescent="0.25">
      <c r="E504" s="4">
        <v>46340</v>
      </c>
      <c r="F504" s="6">
        <f t="shared" si="13"/>
        <v>202646</v>
      </c>
    </row>
    <row r="505" spans="5:6" x14ac:dyDescent="0.25">
      <c r="E505" s="2">
        <v>46341</v>
      </c>
      <c r="F505" s="3">
        <f t="shared" si="13"/>
        <v>202647</v>
      </c>
    </row>
    <row r="506" spans="5:6" x14ac:dyDescent="0.25">
      <c r="E506" s="4">
        <v>46342</v>
      </c>
      <c r="F506" s="6">
        <f t="shared" si="13"/>
        <v>202647</v>
      </c>
    </row>
    <row r="507" spans="5:6" x14ac:dyDescent="0.25">
      <c r="E507" s="2">
        <v>46343</v>
      </c>
      <c r="F507" s="3">
        <f t="shared" si="13"/>
        <v>202647</v>
      </c>
    </row>
    <row r="508" spans="5:6" x14ac:dyDescent="0.25">
      <c r="E508" s="4">
        <v>46344</v>
      </c>
      <c r="F508" s="6">
        <f t="shared" si="13"/>
        <v>202647</v>
      </c>
    </row>
    <row r="509" spans="5:6" x14ac:dyDescent="0.25">
      <c r="E509" s="2">
        <v>46345</v>
      </c>
      <c r="F509" s="3">
        <f t="shared" si="13"/>
        <v>202647</v>
      </c>
    </row>
    <row r="510" spans="5:6" x14ac:dyDescent="0.25">
      <c r="E510" s="4">
        <v>46346</v>
      </c>
      <c r="F510" s="6">
        <f t="shared" si="13"/>
        <v>202647</v>
      </c>
    </row>
    <row r="511" spans="5:6" x14ac:dyDescent="0.25">
      <c r="E511" s="2">
        <v>46347</v>
      </c>
      <c r="F511" s="3">
        <f t="shared" si="13"/>
        <v>202647</v>
      </c>
    </row>
    <row r="512" spans="5:6" x14ac:dyDescent="0.25">
      <c r="E512" s="4">
        <v>46348</v>
      </c>
      <c r="F512" s="6">
        <f t="shared" si="13"/>
        <v>202648</v>
      </c>
    </row>
    <row r="513" spans="5:6" x14ac:dyDescent="0.25">
      <c r="E513" s="2">
        <v>46349</v>
      </c>
      <c r="F513" s="3">
        <f t="shared" si="13"/>
        <v>202648</v>
      </c>
    </row>
    <row r="514" spans="5:6" x14ac:dyDescent="0.25">
      <c r="E514" s="4">
        <v>46350</v>
      </c>
      <c r="F514" s="6">
        <f t="shared" si="13"/>
        <v>202648</v>
      </c>
    </row>
    <row r="515" spans="5:6" x14ac:dyDescent="0.25">
      <c r="E515" s="2">
        <v>46351</v>
      </c>
      <c r="F515" s="3">
        <f t="shared" ref="F515:F578" si="14">_xlfn.CONCAT(YEAR(E515),TEXT(WEEKNUM(E515,1),"00"))*1</f>
        <v>202648</v>
      </c>
    </row>
    <row r="516" spans="5:6" x14ac:dyDescent="0.25">
      <c r="E516" s="4">
        <v>46352</v>
      </c>
      <c r="F516" s="6">
        <f t="shared" si="14"/>
        <v>202648</v>
      </c>
    </row>
    <row r="517" spans="5:6" x14ac:dyDescent="0.25">
      <c r="E517" s="2">
        <v>46353</v>
      </c>
      <c r="F517" s="3">
        <f t="shared" si="14"/>
        <v>202648</v>
      </c>
    </row>
    <row r="518" spans="5:6" x14ac:dyDescent="0.25">
      <c r="E518" s="4">
        <v>46354</v>
      </c>
      <c r="F518" s="6">
        <f t="shared" si="14"/>
        <v>202648</v>
      </c>
    </row>
    <row r="519" spans="5:6" x14ac:dyDescent="0.25">
      <c r="E519" s="2">
        <v>46355</v>
      </c>
      <c r="F519" s="3">
        <f t="shared" si="14"/>
        <v>202649</v>
      </c>
    </row>
    <row r="520" spans="5:6" x14ac:dyDescent="0.25">
      <c r="E520" s="4">
        <v>46356</v>
      </c>
      <c r="F520" s="6">
        <f t="shared" si="14"/>
        <v>202649</v>
      </c>
    </row>
    <row r="521" spans="5:6" x14ac:dyDescent="0.25">
      <c r="E521" s="2">
        <v>46357</v>
      </c>
      <c r="F521" s="3">
        <f t="shared" si="14"/>
        <v>202649</v>
      </c>
    </row>
    <row r="522" spans="5:6" x14ac:dyDescent="0.25">
      <c r="E522" s="4">
        <v>46358</v>
      </c>
      <c r="F522" s="6">
        <f t="shared" si="14"/>
        <v>202649</v>
      </c>
    </row>
    <row r="523" spans="5:6" x14ac:dyDescent="0.25">
      <c r="E523" s="2">
        <v>46359</v>
      </c>
      <c r="F523" s="3">
        <f t="shared" si="14"/>
        <v>202649</v>
      </c>
    </row>
    <row r="524" spans="5:6" x14ac:dyDescent="0.25">
      <c r="E524" s="4">
        <v>46360</v>
      </c>
      <c r="F524" s="6">
        <f t="shared" si="14"/>
        <v>202649</v>
      </c>
    </row>
    <row r="525" spans="5:6" x14ac:dyDescent="0.25">
      <c r="E525" s="2">
        <v>46361</v>
      </c>
      <c r="F525" s="3">
        <f t="shared" si="14"/>
        <v>202649</v>
      </c>
    </row>
    <row r="526" spans="5:6" x14ac:dyDescent="0.25">
      <c r="E526" s="4">
        <v>46362</v>
      </c>
      <c r="F526" s="6">
        <f t="shared" si="14"/>
        <v>202650</v>
      </c>
    </row>
    <row r="527" spans="5:6" x14ac:dyDescent="0.25">
      <c r="E527" s="2">
        <v>46363</v>
      </c>
      <c r="F527" s="3">
        <f t="shared" si="14"/>
        <v>202650</v>
      </c>
    </row>
    <row r="528" spans="5:6" x14ac:dyDescent="0.25">
      <c r="E528" s="4">
        <v>46364</v>
      </c>
      <c r="F528" s="6">
        <f t="shared" si="14"/>
        <v>202650</v>
      </c>
    </row>
    <row r="529" spans="5:6" x14ac:dyDescent="0.25">
      <c r="E529" s="2">
        <v>46365</v>
      </c>
      <c r="F529" s="3">
        <f t="shared" si="14"/>
        <v>202650</v>
      </c>
    </row>
    <row r="530" spans="5:6" x14ac:dyDescent="0.25">
      <c r="E530" s="4">
        <v>46366</v>
      </c>
      <c r="F530" s="6">
        <f t="shared" si="14"/>
        <v>202650</v>
      </c>
    </row>
    <row r="531" spans="5:6" x14ac:dyDescent="0.25">
      <c r="E531" s="2">
        <v>46367</v>
      </c>
      <c r="F531" s="3">
        <f t="shared" si="14"/>
        <v>202650</v>
      </c>
    </row>
    <row r="532" spans="5:6" x14ac:dyDescent="0.25">
      <c r="E532" s="4">
        <v>46368</v>
      </c>
      <c r="F532" s="6">
        <f t="shared" si="14"/>
        <v>202650</v>
      </c>
    </row>
    <row r="533" spans="5:6" x14ac:dyDescent="0.25">
      <c r="E533" s="2">
        <v>46369</v>
      </c>
      <c r="F533" s="3">
        <f t="shared" si="14"/>
        <v>202651</v>
      </c>
    </row>
    <row r="534" spans="5:6" x14ac:dyDescent="0.25">
      <c r="E534" s="4">
        <v>46370</v>
      </c>
      <c r="F534" s="6">
        <f t="shared" si="14"/>
        <v>202651</v>
      </c>
    </row>
    <row r="535" spans="5:6" x14ac:dyDescent="0.25">
      <c r="E535" s="2">
        <v>46371</v>
      </c>
      <c r="F535" s="3">
        <f t="shared" si="14"/>
        <v>202651</v>
      </c>
    </row>
    <row r="536" spans="5:6" x14ac:dyDescent="0.25">
      <c r="E536" s="4">
        <v>46372</v>
      </c>
      <c r="F536" s="6">
        <f t="shared" si="14"/>
        <v>202651</v>
      </c>
    </row>
    <row r="537" spans="5:6" x14ac:dyDescent="0.25">
      <c r="E537" s="2">
        <v>46373</v>
      </c>
      <c r="F537" s="3">
        <f t="shared" si="14"/>
        <v>202651</v>
      </c>
    </row>
    <row r="538" spans="5:6" x14ac:dyDescent="0.25">
      <c r="E538" s="4">
        <v>46374</v>
      </c>
      <c r="F538" s="6">
        <f t="shared" si="14"/>
        <v>202651</v>
      </c>
    </row>
    <row r="539" spans="5:6" x14ac:dyDescent="0.25">
      <c r="E539" s="2">
        <v>46375</v>
      </c>
      <c r="F539" s="3">
        <f t="shared" si="14"/>
        <v>202651</v>
      </c>
    </row>
    <row r="540" spans="5:6" x14ac:dyDescent="0.25">
      <c r="E540" s="4">
        <v>46376</v>
      </c>
      <c r="F540" s="6">
        <f t="shared" si="14"/>
        <v>202652</v>
      </c>
    </row>
    <row r="541" spans="5:6" x14ac:dyDescent="0.25">
      <c r="E541" s="2">
        <v>46377</v>
      </c>
      <c r="F541" s="3">
        <f t="shared" si="14"/>
        <v>202652</v>
      </c>
    </row>
    <row r="542" spans="5:6" x14ac:dyDescent="0.25">
      <c r="E542" s="4">
        <v>46378</v>
      </c>
      <c r="F542" s="6">
        <f t="shared" si="14"/>
        <v>202652</v>
      </c>
    </row>
    <row r="543" spans="5:6" x14ac:dyDescent="0.25">
      <c r="E543" s="2">
        <v>46379</v>
      </c>
      <c r="F543" s="3">
        <f t="shared" si="14"/>
        <v>202652</v>
      </c>
    </row>
    <row r="544" spans="5:6" x14ac:dyDescent="0.25">
      <c r="E544" s="4">
        <v>46380</v>
      </c>
      <c r="F544" s="6">
        <f t="shared" si="14"/>
        <v>202652</v>
      </c>
    </row>
    <row r="545" spans="5:6" x14ac:dyDescent="0.25">
      <c r="E545" s="2">
        <v>46381</v>
      </c>
      <c r="F545" s="3">
        <f t="shared" si="14"/>
        <v>202652</v>
      </c>
    </row>
    <row r="546" spans="5:6" x14ac:dyDescent="0.25">
      <c r="E546" s="4">
        <v>46382</v>
      </c>
      <c r="F546" s="6">
        <f t="shared" si="14"/>
        <v>202652</v>
      </c>
    </row>
    <row r="547" spans="5:6" x14ac:dyDescent="0.25">
      <c r="E547" s="2">
        <v>46383</v>
      </c>
      <c r="F547" s="3">
        <f t="shared" si="14"/>
        <v>202653</v>
      </c>
    </row>
    <row r="548" spans="5:6" x14ac:dyDescent="0.25">
      <c r="E548" s="4">
        <v>46384</v>
      </c>
      <c r="F548" s="6">
        <f t="shared" si="14"/>
        <v>202653</v>
      </c>
    </row>
    <row r="549" spans="5:6" x14ac:dyDescent="0.25">
      <c r="E549" s="2">
        <v>46385</v>
      </c>
      <c r="F549" s="3">
        <f t="shared" si="14"/>
        <v>202653</v>
      </c>
    </row>
    <row r="550" spans="5:6" x14ac:dyDescent="0.25">
      <c r="E550" s="4">
        <v>46386</v>
      </c>
      <c r="F550" s="6">
        <f t="shared" si="14"/>
        <v>202653</v>
      </c>
    </row>
    <row r="551" spans="5:6" x14ac:dyDescent="0.25">
      <c r="E551" s="2">
        <v>46387</v>
      </c>
      <c r="F551" s="3">
        <f t="shared" si="14"/>
        <v>202653</v>
      </c>
    </row>
    <row r="552" spans="5:6" x14ac:dyDescent="0.25">
      <c r="E552" s="2">
        <v>46388</v>
      </c>
      <c r="F552" s="7">
        <f t="shared" si="14"/>
        <v>202701</v>
      </c>
    </row>
    <row r="553" spans="5:6" x14ac:dyDescent="0.25">
      <c r="E553" s="2">
        <v>46389</v>
      </c>
      <c r="F553" s="7">
        <f t="shared" si="14"/>
        <v>202701</v>
      </c>
    </row>
    <row r="554" spans="5:6" x14ac:dyDescent="0.25">
      <c r="E554" s="2">
        <v>46390</v>
      </c>
      <c r="F554" s="7">
        <f t="shared" si="14"/>
        <v>202702</v>
      </c>
    </row>
    <row r="555" spans="5:6" x14ac:dyDescent="0.25">
      <c r="E555" s="2">
        <v>46391</v>
      </c>
      <c r="F555" s="3">
        <f t="shared" si="14"/>
        <v>202702</v>
      </c>
    </row>
    <row r="556" spans="5:6" x14ac:dyDescent="0.25">
      <c r="E556" s="2">
        <v>46392</v>
      </c>
      <c r="F556" s="3">
        <f t="shared" si="14"/>
        <v>202702</v>
      </c>
    </row>
    <row r="557" spans="5:6" x14ac:dyDescent="0.25">
      <c r="E557" s="2">
        <v>46393</v>
      </c>
      <c r="F557" s="3">
        <f t="shared" si="14"/>
        <v>202702</v>
      </c>
    </row>
    <row r="558" spans="5:6" x14ac:dyDescent="0.25">
      <c r="E558" s="2">
        <v>46394</v>
      </c>
      <c r="F558" s="3">
        <f t="shared" si="14"/>
        <v>202702</v>
      </c>
    </row>
    <row r="559" spans="5:6" x14ac:dyDescent="0.25">
      <c r="E559" s="2">
        <v>46395</v>
      </c>
      <c r="F559" s="3">
        <f t="shared" si="14"/>
        <v>202702</v>
      </c>
    </row>
    <row r="560" spans="5:6" x14ac:dyDescent="0.25">
      <c r="E560" s="2">
        <v>46396</v>
      </c>
      <c r="F560" s="3">
        <f t="shared" si="14"/>
        <v>202702</v>
      </c>
    </row>
    <row r="561" spans="5:6" x14ac:dyDescent="0.25">
      <c r="E561" s="2">
        <v>46397</v>
      </c>
      <c r="F561" s="3">
        <f t="shared" si="14"/>
        <v>202703</v>
      </c>
    </row>
    <row r="562" spans="5:6" x14ac:dyDescent="0.25">
      <c r="E562" s="2">
        <v>46398</v>
      </c>
      <c r="F562" s="3">
        <f t="shared" si="14"/>
        <v>202703</v>
      </c>
    </row>
    <row r="563" spans="5:6" x14ac:dyDescent="0.25">
      <c r="E563" s="2">
        <v>46399</v>
      </c>
      <c r="F563" s="3">
        <f t="shared" si="14"/>
        <v>202703</v>
      </c>
    </row>
    <row r="564" spans="5:6" x14ac:dyDescent="0.25">
      <c r="E564" s="2">
        <v>46400</v>
      </c>
      <c r="F564" s="3">
        <f t="shared" si="14"/>
        <v>202703</v>
      </c>
    </row>
    <row r="565" spans="5:6" x14ac:dyDescent="0.25">
      <c r="E565" s="2">
        <v>46401</v>
      </c>
      <c r="F565" s="3">
        <f t="shared" si="14"/>
        <v>202703</v>
      </c>
    </row>
    <row r="566" spans="5:6" x14ac:dyDescent="0.25">
      <c r="E566" s="2">
        <v>46402</v>
      </c>
      <c r="F566" s="3">
        <f t="shared" si="14"/>
        <v>202703</v>
      </c>
    </row>
    <row r="567" spans="5:6" x14ac:dyDescent="0.25">
      <c r="E567" s="2">
        <v>46403</v>
      </c>
      <c r="F567" s="3">
        <f t="shared" si="14"/>
        <v>202703</v>
      </c>
    </row>
    <row r="568" spans="5:6" x14ac:dyDescent="0.25">
      <c r="E568" s="2">
        <v>46404</v>
      </c>
      <c r="F568" s="3">
        <f t="shared" si="14"/>
        <v>202704</v>
      </c>
    </row>
    <row r="569" spans="5:6" x14ac:dyDescent="0.25">
      <c r="E569" s="2">
        <v>46405</v>
      </c>
      <c r="F569" s="3">
        <f t="shared" si="14"/>
        <v>202704</v>
      </c>
    </row>
    <row r="570" spans="5:6" x14ac:dyDescent="0.25">
      <c r="E570" s="2">
        <v>46406</v>
      </c>
      <c r="F570" s="3">
        <f t="shared" si="14"/>
        <v>202704</v>
      </c>
    </row>
    <row r="571" spans="5:6" x14ac:dyDescent="0.25">
      <c r="E571" s="2">
        <v>46407</v>
      </c>
      <c r="F571" s="3">
        <f t="shared" si="14"/>
        <v>202704</v>
      </c>
    </row>
    <row r="572" spans="5:6" x14ac:dyDescent="0.25">
      <c r="E572" s="2">
        <v>46408</v>
      </c>
      <c r="F572" s="3">
        <f t="shared" si="14"/>
        <v>202704</v>
      </c>
    </row>
    <row r="573" spans="5:6" x14ac:dyDescent="0.25">
      <c r="E573" s="2">
        <v>46409</v>
      </c>
      <c r="F573" s="3">
        <f t="shared" si="14"/>
        <v>202704</v>
      </c>
    </row>
    <row r="574" spans="5:6" x14ac:dyDescent="0.25">
      <c r="E574" s="2">
        <v>46410</v>
      </c>
      <c r="F574" s="3">
        <f t="shared" si="14"/>
        <v>202704</v>
      </c>
    </row>
    <row r="575" spans="5:6" x14ac:dyDescent="0.25">
      <c r="E575" s="2">
        <v>46411</v>
      </c>
      <c r="F575" s="3">
        <f t="shared" si="14"/>
        <v>202705</v>
      </c>
    </row>
    <row r="576" spans="5:6" x14ac:dyDescent="0.25">
      <c r="E576" s="2">
        <v>46412</v>
      </c>
      <c r="F576" s="3">
        <f t="shared" si="14"/>
        <v>202705</v>
      </c>
    </row>
    <row r="577" spans="5:6" x14ac:dyDescent="0.25">
      <c r="E577" s="2">
        <v>46413</v>
      </c>
      <c r="F577" s="3">
        <f t="shared" si="14"/>
        <v>202705</v>
      </c>
    </row>
    <row r="578" spans="5:6" x14ac:dyDescent="0.25">
      <c r="E578" s="2">
        <v>46414</v>
      </c>
      <c r="F578" s="3">
        <f t="shared" si="14"/>
        <v>202705</v>
      </c>
    </row>
    <row r="579" spans="5:6" x14ac:dyDescent="0.25">
      <c r="E579" s="2">
        <v>46415</v>
      </c>
      <c r="F579" s="3">
        <f t="shared" ref="F579:F642" si="15">_xlfn.CONCAT(YEAR(E579),TEXT(WEEKNUM(E579,1),"00"))*1</f>
        <v>202705</v>
      </c>
    </row>
    <row r="580" spans="5:6" x14ac:dyDescent="0.25">
      <c r="E580" s="2">
        <v>46416</v>
      </c>
      <c r="F580" s="3">
        <f t="shared" si="15"/>
        <v>202705</v>
      </c>
    </row>
    <row r="581" spans="5:6" x14ac:dyDescent="0.25">
      <c r="E581" s="2">
        <v>46417</v>
      </c>
      <c r="F581" s="3">
        <f t="shared" si="15"/>
        <v>202705</v>
      </c>
    </row>
    <row r="582" spans="5:6" x14ac:dyDescent="0.25">
      <c r="E582" s="2">
        <v>46418</v>
      </c>
      <c r="F582" s="3">
        <f t="shared" si="15"/>
        <v>202706</v>
      </c>
    </row>
    <row r="583" spans="5:6" x14ac:dyDescent="0.25">
      <c r="E583" s="2">
        <v>46419</v>
      </c>
      <c r="F583" s="3">
        <f t="shared" si="15"/>
        <v>202706</v>
      </c>
    </row>
    <row r="584" spans="5:6" x14ac:dyDescent="0.25">
      <c r="E584" s="2">
        <v>46420</v>
      </c>
      <c r="F584" s="3">
        <f t="shared" si="15"/>
        <v>202706</v>
      </c>
    </row>
    <row r="585" spans="5:6" x14ac:dyDescent="0.25">
      <c r="E585" s="2">
        <v>46421</v>
      </c>
      <c r="F585" s="3">
        <f t="shared" si="15"/>
        <v>202706</v>
      </c>
    </row>
    <row r="586" spans="5:6" x14ac:dyDescent="0.25">
      <c r="E586" s="2">
        <v>46422</v>
      </c>
      <c r="F586" s="3">
        <f t="shared" si="15"/>
        <v>202706</v>
      </c>
    </row>
    <row r="587" spans="5:6" x14ac:dyDescent="0.25">
      <c r="E587" s="2">
        <v>46423</v>
      </c>
      <c r="F587" s="3">
        <f t="shared" si="15"/>
        <v>202706</v>
      </c>
    </row>
    <row r="588" spans="5:6" x14ac:dyDescent="0.25">
      <c r="E588" s="2">
        <v>46424</v>
      </c>
      <c r="F588" s="3">
        <f t="shared" si="15"/>
        <v>202706</v>
      </c>
    </row>
    <row r="589" spans="5:6" x14ac:dyDescent="0.25">
      <c r="E589" s="2">
        <v>46425</v>
      </c>
      <c r="F589" s="3">
        <f t="shared" si="15"/>
        <v>202707</v>
      </c>
    </row>
    <row r="590" spans="5:6" x14ac:dyDescent="0.25">
      <c r="E590" s="2">
        <v>46426</v>
      </c>
      <c r="F590" s="3">
        <f t="shared" si="15"/>
        <v>202707</v>
      </c>
    </row>
    <row r="591" spans="5:6" x14ac:dyDescent="0.25">
      <c r="E591" s="2">
        <v>46427</v>
      </c>
      <c r="F591" s="3">
        <f t="shared" si="15"/>
        <v>202707</v>
      </c>
    </row>
    <row r="592" spans="5:6" x14ac:dyDescent="0.25">
      <c r="E592" s="2">
        <v>46428</v>
      </c>
      <c r="F592" s="3">
        <f t="shared" si="15"/>
        <v>202707</v>
      </c>
    </row>
    <row r="593" spans="5:6" x14ac:dyDescent="0.25">
      <c r="E593" s="2">
        <v>46429</v>
      </c>
      <c r="F593" s="3">
        <f t="shared" si="15"/>
        <v>202707</v>
      </c>
    </row>
    <row r="594" spans="5:6" x14ac:dyDescent="0.25">
      <c r="E594" s="2">
        <v>46430</v>
      </c>
      <c r="F594" s="3">
        <f t="shared" si="15"/>
        <v>202707</v>
      </c>
    </row>
    <row r="595" spans="5:6" x14ac:dyDescent="0.25">
      <c r="E595" s="2">
        <v>46431</v>
      </c>
      <c r="F595" s="3">
        <f t="shared" si="15"/>
        <v>202707</v>
      </c>
    </row>
    <row r="596" spans="5:6" x14ac:dyDescent="0.25">
      <c r="E596" s="2">
        <v>46432</v>
      </c>
      <c r="F596" s="3">
        <f t="shared" si="15"/>
        <v>202708</v>
      </c>
    </row>
    <row r="597" spans="5:6" x14ac:dyDescent="0.25">
      <c r="E597" s="2">
        <v>46433</v>
      </c>
      <c r="F597" s="3">
        <f t="shared" si="15"/>
        <v>202708</v>
      </c>
    </row>
    <row r="598" spans="5:6" x14ac:dyDescent="0.25">
      <c r="E598" s="2">
        <v>46434</v>
      </c>
      <c r="F598" s="3">
        <f t="shared" si="15"/>
        <v>202708</v>
      </c>
    </row>
    <row r="599" spans="5:6" x14ac:dyDescent="0.25">
      <c r="E599" s="2">
        <v>46435</v>
      </c>
      <c r="F599" s="3">
        <f t="shared" si="15"/>
        <v>202708</v>
      </c>
    </row>
    <row r="600" spans="5:6" x14ac:dyDescent="0.25">
      <c r="E600" s="2">
        <v>46436</v>
      </c>
      <c r="F600" s="3">
        <f t="shared" si="15"/>
        <v>202708</v>
      </c>
    </row>
    <row r="601" spans="5:6" x14ac:dyDescent="0.25">
      <c r="E601" s="2">
        <v>46437</v>
      </c>
      <c r="F601" s="3">
        <f t="shared" si="15"/>
        <v>202708</v>
      </c>
    </row>
    <row r="602" spans="5:6" x14ac:dyDescent="0.25">
      <c r="E602" s="2">
        <v>46438</v>
      </c>
      <c r="F602" s="3">
        <f t="shared" si="15"/>
        <v>202708</v>
      </c>
    </row>
    <row r="603" spans="5:6" x14ac:dyDescent="0.25">
      <c r="E603" s="2">
        <v>46439</v>
      </c>
      <c r="F603" s="3">
        <f t="shared" si="15"/>
        <v>202709</v>
      </c>
    </row>
    <row r="604" spans="5:6" x14ac:dyDescent="0.25">
      <c r="E604" s="2">
        <v>46440</v>
      </c>
      <c r="F604" s="3">
        <f t="shared" si="15"/>
        <v>202709</v>
      </c>
    </row>
    <row r="605" spans="5:6" x14ac:dyDescent="0.25">
      <c r="E605" s="2">
        <v>46441</v>
      </c>
      <c r="F605" s="3">
        <f t="shared" si="15"/>
        <v>202709</v>
      </c>
    </row>
    <row r="606" spans="5:6" x14ac:dyDescent="0.25">
      <c r="E606" s="2">
        <v>46442</v>
      </c>
      <c r="F606" s="3">
        <f t="shared" si="15"/>
        <v>202709</v>
      </c>
    </row>
    <row r="607" spans="5:6" x14ac:dyDescent="0.25">
      <c r="E607" s="2">
        <v>46443</v>
      </c>
      <c r="F607" s="3">
        <f t="shared" si="15"/>
        <v>202709</v>
      </c>
    </row>
    <row r="608" spans="5:6" x14ac:dyDescent="0.25">
      <c r="E608" s="2">
        <v>46444</v>
      </c>
      <c r="F608" s="3">
        <f t="shared" si="15"/>
        <v>202709</v>
      </c>
    </row>
    <row r="609" spans="5:6" x14ac:dyDescent="0.25">
      <c r="E609" s="2">
        <v>46445</v>
      </c>
      <c r="F609" s="3">
        <f t="shared" si="15"/>
        <v>202709</v>
      </c>
    </row>
    <row r="610" spans="5:6" x14ac:dyDescent="0.25">
      <c r="E610" s="2">
        <v>46446</v>
      </c>
      <c r="F610" s="3">
        <f t="shared" si="15"/>
        <v>202710</v>
      </c>
    </row>
    <row r="611" spans="5:6" x14ac:dyDescent="0.25">
      <c r="E611" s="2">
        <v>46447</v>
      </c>
      <c r="F611" s="3">
        <f t="shared" si="15"/>
        <v>202710</v>
      </c>
    </row>
    <row r="612" spans="5:6" x14ac:dyDescent="0.25">
      <c r="E612" s="2">
        <v>46448</v>
      </c>
      <c r="F612" s="3">
        <f t="shared" si="15"/>
        <v>202710</v>
      </c>
    </row>
    <row r="613" spans="5:6" x14ac:dyDescent="0.25">
      <c r="E613" s="2">
        <v>46449</v>
      </c>
      <c r="F613" s="3">
        <f t="shared" si="15"/>
        <v>202710</v>
      </c>
    </row>
    <row r="614" spans="5:6" x14ac:dyDescent="0.25">
      <c r="E614" s="2">
        <v>46450</v>
      </c>
      <c r="F614" s="3">
        <f t="shared" si="15"/>
        <v>202710</v>
      </c>
    </row>
    <row r="615" spans="5:6" x14ac:dyDescent="0.25">
      <c r="E615" s="2">
        <v>46451</v>
      </c>
      <c r="F615" s="3">
        <f t="shared" si="15"/>
        <v>202710</v>
      </c>
    </row>
    <row r="616" spans="5:6" x14ac:dyDescent="0.25">
      <c r="E616" s="2">
        <v>46452</v>
      </c>
      <c r="F616" s="3">
        <f t="shared" si="15"/>
        <v>202710</v>
      </c>
    </row>
    <row r="617" spans="5:6" x14ac:dyDescent="0.25">
      <c r="E617" s="2">
        <v>46453</v>
      </c>
      <c r="F617" s="3">
        <f t="shared" si="15"/>
        <v>202711</v>
      </c>
    </row>
    <row r="618" spans="5:6" x14ac:dyDescent="0.25">
      <c r="E618" s="2">
        <v>46454</v>
      </c>
      <c r="F618" s="3">
        <f t="shared" si="15"/>
        <v>202711</v>
      </c>
    </row>
    <row r="619" spans="5:6" x14ac:dyDescent="0.25">
      <c r="E619" s="2">
        <v>46455</v>
      </c>
      <c r="F619" s="3">
        <f t="shared" si="15"/>
        <v>202711</v>
      </c>
    </row>
    <row r="620" spans="5:6" x14ac:dyDescent="0.25">
      <c r="E620" s="2">
        <v>46456</v>
      </c>
      <c r="F620" s="3">
        <f t="shared" si="15"/>
        <v>202711</v>
      </c>
    </row>
    <row r="621" spans="5:6" x14ac:dyDescent="0.25">
      <c r="E621" s="2">
        <v>46457</v>
      </c>
      <c r="F621" s="3">
        <f t="shared" si="15"/>
        <v>202711</v>
      </c>
    </row>
    <row r="622" spans="5:6" x14ac:dyDescent="0.25">
      <c r="E622" s="2">
        <v>46458</v>
      </c>
      <c r="F622" s="3">
        <f t="shared" si="15"/>
        <v>202711</v>
      </c>
    </row>
    <row r="623" spans="5:6" x14ac:dyDescent="0.25">
      <c r="E623" s="2">
        <v>46459</v>
      </c>
      <c r="F623" s="3">
        <f t="shared" si="15"/>
        <v>202711</v>
      </c>
    </row>
    <row r="624" spans="5:6" x14ac:dyDescent="0.25">
      <c r="E624" s="2">
        <v>46460</v>
      </c>
      <c r="F624" s="3">
        <f t="shared" si="15"/>
        <v>202712</v>
      </c>
    </row>
    <row r="625" spans="5:6" x14ac:dyDescent="0.25">
      <c r="E625" s="2">
        <v>46461</v>
      </c>
      <c r="F625" s="3">
        <f t="shared" si="15"/>
        <v>202712</v>
      </c>
    </row>
    <row r="626" spans="5:6" x14ac:dyDescent="0.25">
      <c r="E626" s="2">
        <v>46462</v>
      </c>
      <c r="F626" s="3">
        <f t="shared" si="15"/>
        <v>202712</v>
      </c>
    </row>
    <row r="627" spans="5:6" x14ac:dyDescent="0.25">
      <c r="E627" s="2">
        <v>46463</v>
      </c>
      <c r="F627" s="3">
        <f t="shared" si="15"/>
        <v>202712</v>
      </c>
    </row>
    <row r="628" spans="5:6" x14ac:dyDescent="0.25">
      <c r="E628" s="2">
        <v>46464</v>
      </c>
      <c r="F628" s="3">
        <f t="shared" si="15"/>
        <v>202712</v>
      </c>
    </row>
    <row r="629" spans="5:6" x14ac:dyDescent="0.25">
      <c r="E629" s="2">
        <v>46465</v>
      </c>
      <c r="F629" s="3">
        <f t="shared" si="15"/>
        <v>202712</v>
      </c>
    </row>
    <row r="630" spans="5:6" x14ac:dyDescent="0.25">
      <c r="E630" s="2">
        <v>46466</v>
      </c>
      <c r="F630" s="3">
        <f t="shared" si="15"/>
        <v>202712</v>
      </c>
    </row>
    <row r="631" spans="5:6" x14ac:dyDescent="0.25">
      <c r="E631" s="2">
        <v>46467</v>
      </c>
      <c r="F631" s="3">
        <f t="shared" si="15"/>
        <v>202713</v>
      </c>
    </row>
    <row r="632" spans="5:6" x14ac:dyDescent="0.25">
      <c r="E632" s="2">
        <v>46468</v>
      </c>
      <c r="F632" s="3">
        <f t="shared" si="15"/>
        <v>202713</v>
      </c>
    </row>
    <row r="633" spans="5:6" x14ac:dyDescent="0.25">
      <c r="E633" s="2">
        <v>46469</v>
      </c>
      <c r="F633" s="3">
        <f t="shared" si="15"/>
        <v>202713</v>
      </c>
    </row>
    <row r="634" spans="5:6" x14ac:dyDescent="0.25">
      <c r="E634" s="2">
        <v>46470</v>
      </c>
      <c r="F634" s="3">
        <f t="shared" si="15"/>
        <v>202713</v>
      </c>
    </row>
    <row r="635" spans="5:6" x14ac:dyDescent="0.25">
      <c r="E635" s="2">
        <v>46471</v>
      </c>
      <c r="F635" s="3">
        <f t="shared" si="15"/>
        <v>202713</v>
      </c>
    </row>
    <row r="636" spans="5:6" x14ac:dyDescent="0.25">
      <c r="E636" s="2">
        <v>46472</v>
      </c>
      <c r="F636" s="3">
        <f t="shared" si="15"/>
        <v>202713</v>
      </c>
    </row>
    <row r="637" spans="5:6" x14ac:dyDescent="0.25">
      <c r="E637" s="2">
        <v>46473</v>
      </c>
      <c r="F637" s="3">
        <f t="shared" si="15"/>
        <v>202713</v>
      </c>
    </row>
    <row r="638" spans="5:6" x14ac:dyDescent="0.25">
      <c r="E638" s="2">
        <v>46474</v>
      </c>
      <c r="F638" s="3">
        <f t="shared" si="15"/>
        <v>202714</v>
      </c>
    </row>
    <row r="639" spans="5:6" x14ac:dyDescent="0.25">
      <c r="E639" s="2">
        <v>46475</v>
      </c>
      <c r="F639" s="3">
        <f t="shared" si="15"/>
        <v>202714</v>
      </c>
    </row>
    <row r="640" spans="5:6" x14ac:dyDescent="0.25">
      <c r="E640" s="2">
        <v>46476</v>
      </c>
      <c r="F640" s="3">
        <f t="shared" si="15"/>
        <v>202714</v>
      </c>
    </row>
    <row r="641" spans="5:6" x14ac:dyDescent="0.25">
      <c r="E641" s="2">
        <v>46477</v>
      </c>
      <c r="F641" s="3">
        <f t="shared" si="15"/>
        <v>202714</v>
      </c>
    </row>
    <row r="642" spans="5:6" x14ac:dyDescent="0.25">
      <c r="E642" s="2">
        <v>46478</v>
      </c>
      <c r="F642" s="3">
        <f t="shared" si="15"/>
        <v>202714</v>
      </c>
    </row>
    <row r="643" spans="5:6" x14ac:dyDescent="0.25">
      <c r="E643" s="2">
        <v>46479</v>
      </c>
      <c r="F643" s="3">
        <f t="shared" ref="F643:F706" si="16">_xlfn.CONCAT(YEAR(E643),TEXT(WEEKNUM(E643,1),"00"))*1</f>
        <v>202714</v>
      </c>
    </row>
    <row r="644" spans="5:6" x14ac:dyDescent="0.25">
      <c r="E644" s="2">
        <v>46480</v>
      </c>
      <c r="F644" s="3">
        <f t="shared" si="16"/>
        <v>202714</v>
      </c>
    </row>
    <row r="645" spans="5:6" x14ac:dyDescent="0.25">
      <c r="E645" s="2">
        <v>46481</v>
      </c>
      <c r="F645" s="3">
        <f t="shared" si="16"/>
        <v>202715</v>
      </c>
    </row>
    <row r="646" spans="5:6" x14ac:dyDescent="0.25">
      <c r="E646" s="2">
        <v>46482</v>
      </c>
      <c r="F646" s="3">
        <f t="shared" si="16"/>
        <v>202715</v>
      </c>
    </row>
    <row r="647" spans="5:6" x14ac:dyDescent="0.25">
      <c r="E647" s="2">
        <v>46483</v>
      </c>
      <c r="F647" s="3">
        <f t="shared" si="16"/>
        <v>202715</v>
      </c>
    </row>
    <row r="648" spans="5:6" x14ac:dyDescent="0.25">
      <c r="E648" s="2">
        <v>46484</v>
      </c>
      <c r="F648" s="3">
        <f t="shared" si="16"/>
        <v>202715</v>
      </c>
    </row>
    <row r="649" spans="5:6" x14ac:dyDescent="0.25">
      <c r="E649" s="2">
        <v>46485</v>
      </c>
      <c r="F649" s="3">
        <f t="shared" si="16"/>
        <v>202715</v>
      </c>
    </row>
    <row r="650" spans="5:6" x14ac:dyDescent="0.25">
      <c r="E650" s="2">
        <v>46486</v>
      </c>
      <c r="F650" s="3">
        <f t="shared" si="16"/>
        <v>202715</v>
      </c>
    </row>
    <row r="651" spans="5:6" x14ac:dyDescent="0.25">
      <c r="E651" s="2">
        <v>46487</v>
      </c>
      <c r="F651" s="3">
        <f t="shared" si="16"/>
        <v>202715</v>
      </c>
    </row>
    <row r="652" spans="5:6" x14ac:dyDescent="0.25">
      <c r="E652" s="2">
        <v>46488</v>
      </c>
      <c r="F652" s="3">
        <f t="shared" si="16"/>
        <v>202716</v>
      </c>
    </row>
    <row r="653" spans="5:6" x14ac:dyDescent="0.25">
      <c r="E653" s="2">
        <v>46489</v>
      </c>
      <c r="F653" s="3">
        <f t="shared" si="16"/>
        <v>202716</v>
      </c>
    </row>
    <row r="654" spans="5:6" x14ac:dyDescent="0.25">
      <c r="E654" s="2">
        <v>46490</v>
      </c>
      <c r="F654" s="3">
        <f t="shared" si="16"/>
        <v>202716</v>
      </c>
    </row>
    <row r="655" spans="5:6" x14ac:dyDescent="0.25">
      <c r="E655" s="2">
        <v>46491</v>
      </c>
      <c r="F655" s="3">
        <f t="shared" si="16"/>
        <v>202716</v>
      </c>
    </row>
    <row r="656" spans="5:6" x14ac:dyDescent="0.25">
      <c r="E656" s="2">
        <v>46492</v>
      </c>
      <c r="F656" s="3">
        <f t="shared" si="16"/>
        <v>202716</v>
      </c>
    </row>
    <row r="657" spans="5:6" x14ac:dyDescent="0.25">
      <c r="E657" s="2">
        <v>46493</v>
      </c>
      <c r="F657" s="3">
        <f t="shared" si="16"/>
        <v>202716</v>
      </c>
    </row>
    <row r="658" spans="5:6" x14ac:dyDescent="0.25">
      <c r="E658" s="2">
        <v>46494</v>
      </c>
      <c r="F658" s="3">
        <f t="shared" si="16"/>
        <v>202716</v>
      </c>
    </row>
    <row r="659" spans="5:6" x14ac:dyDescent="0.25">
      <c r="E659" s="2">
        <v>46495</v>
      </c>
      <c r="F659" s="3">
        <f t="shared" si="16"/>
        <v>202717</v>
      </c>
    </row>
    <row r="660" spans="5:6" x14ac:dyDescent="0.25">
      <c r="E660" s="2">
        <v>46496</v>
      </c>
      <c r="F660" s="3">
        <f t="shared" si="16"/>
        <v>202717</v>
      </c>
    </row>
    <row r="661" spans="5:6" x14ac:dyDescent="0.25">
      <c r="E661" s="2">
        <v>46497</v>
      </c>
      <c r="F661" s="3">
        <f t="shared" si="16"/>
        <v>202717</v>
      </c>
    </row>
    <row r="662" spans="5:6" x14ac:dyDescent="0.25">
      <c r="E662" s="2">
        <v>46498</v>
      </c>
      <c r="F662" s="3">
        <f t="shared" si="16"/>
        <v>202717</v>
      </c>
    </row>
    <row r="663" spans="5:6" x14ac:dyDescent="0.25">
      <c r="E663" s="2">
        <v>46499</v>
      </c>
      <c r="F663" s="3">
        <f t="shared" si="16"/>
        <v>202717</v>
      </c>
    </row>
    <row r="664" spans="5:6" x14ac:dyDescent="0.25">
      <c r="E664" s="2">
        <v>46500</v>
      </c>
      <c r="F664" s="3">
        <f t="shared" si="16"/>
        <v>202717</v>
      </c>
    </row>
    <row r="665" spans="5:6" x14ac:dyDescent="0.25">
      <c r="E665" s="2">
        <v>46501</v>
      </c>
      <c r="F665" s="3">
        <f t="shared" si="16"/>
        <v>202717</v>
      </c>
    </row>
    <row r="666" spans="5:6" x14ac:dyDescent="0.25">
      <c r="E666" s="2">
        <v>46502</v>
      </c>
      <c r="F666" s="3">
        <f t="shared" si="16"/>
        <v>202718</v>
      </c>
    </row>
    <row r="667" spans="5:6" x14ac:dyDescent="0.25">
      <c r="E667" s="2">
        <v>46503</v>
      </c>
      <c r="F667" s="3">
        <f t="shared" si="16"/>
        <v>202718</v>
      </c>
    </row>
    <row r="668" spans="5:6" x14ac:dyDescent="0.25">
      <c r="E668" s="2">
        <v>46504</v>
      </c>
      <c r="F668" s="3">
        <f t="shared" si="16"/>
        <v>202718</v>
      </c>
    </row>
    <row r="669" spans="5:6" x14ac:dyDescent="0.25">
      <c r="E669" s="2">
        <v>46505</v>
      </c>
      <c r="F669" s="3">
        <f t="shared" si="16"/>
        <v>202718</v>
      </c>
    </row>
    <row r="670" spans="5:6" x14ac:dyDescent="0.25">
      <c r="E670" s="2">
        <v>46506</v>
      </c>
      <c r="F670" s="3">
        <f t="shared" si="16"/>
        <v>202718</v>
      </c>
    </row>
    <row r="671" spans="5:6" x14ac:dyDescent="0.25">
      <c r="E671" s="2">
        <v>46507</v>
      </c>
      <c r="F671" s="3">
        <f t="shared" si="16"/>
        <v>202718</v>
      </c>
    </row>
    <row r="672" spans="5:6" x14ac:dyDescent="0.25">
      <c r="E672" s="2">
        <v>46508</v>
      </c>
      <c r="F672" s="3">
        <f t="shared" si="16"/>
        <v>202718</v>
      </c>
    </row>
    <row r="673" spans="5:6" x14ac:dyDescent="0.25">
      <c r="E673" s="2">
        <v>46509</v>
      </c>
      <c r="F673" s="3">
        <f t="shared" si="16"/>
        <v>202719</v>
      </c>
    </row>
    <row r="674" spans="5:6" x14ac:dyDescent="0.25">
      <c r="E674" s="2">
        <v>46510</v>
      </c>
      <c r="F674" s="3">
        <f t="shared" si="16"/>
        <v>202719</v>
      </c>
    </row>
    <row r="675" spans="5:6" x14ac:dyDescent="0.25">
      <c r="E675" s="2">
        <v>46511</v>
      </c>
      <c r="F675" s="3">
        <f t="shared" si="16"/>
        <v>202719</v>
      </c>
    </row>
    <row r="676" spans="5:6" x14ac:dyDescent="0.25">
      <c r="E676" s="2">
        <v>46512</v>
      </c>
      <c r="F676" s="3">
        <f t="shared" si="16"/>
        <v>202719</v>
      </c>
    </row>
    <row r="677" spans="5:6" x14ac:dyDescent="0.25">
      <c r="E677" s="2">
        <v>46513</v>
      </c>
      <c r="F677" s="3">
        <f t="shared" si="16"/>
        <v>202719</v>
      </c>
    </row>
    <row r="678" spans="5:6" x14ac:dyDescent="0.25">
      <c r="E678" s="2">
        <v>46514</v>
      </c>
      <c r="F678" s="3">
        <f t="shared" si="16"/>
        <v>202719</v>
      </c>
    </row>
    <row r="679" spans="5:6" x14ac:dyDescent="0.25">
      <c r="E679" s="2">
        <v>46515</v>
      </c>
      <c r="F679" s="3">
        <f t="shared" si="16"/>
        <v>202719</v>
      </c>
    </row>
    <row r="680" spans="5:6" x14ac:dyDescent="0.25">
      <c r="E680" s="2">
        <v>46516</v>
      </c>
      <c r="F680" s="3">
        <f t="shared" si="16"/>
        <v>202720</v>
      </c>
    </row>
    <row r="681" spans="5:6" x14ac:dyDescent="0.25">
      <c r="E681" s="2">
        <v>46517</v>
      </c>
      <c r="F681" s="3">
        <f t="shared" si="16"/>
        <v>202720</v>
      </c>
    </row>
    <row r="682" spans="5:6" x14ac:dyDescent="0.25">
      <c r="E682" s="2">
        <v>46518</v>
      </c>
      <c r="F682" s="3">
        <f t="shared" si="16"/>
        <v>202720</v>
      </c>
    </row>
    <row r="683" spans="5:6" x14ac:dyDescent="0.25">
      <c r="E683" s="2">
        <v>46519</v>
      </c>
      <c r="F683" s="3">
        <f t="shared" si="16"/>
        <v>202720</v>
      </c>
    </row>
    <row r="684" spans="5:6" x14ac:dyDescent="0.25">
      <c r="E684" s="2">
        <v>46520</v>
      </c>
      <c r="F684" s="3">
        <f t="shared" si="16"/>
        <v>202720</v>
      </c>
    </row>
    <row r="685" spans="5:6" x14ac:dyDescent="0.25">
      <c r="E685" s="2">
        <v>46521</v>
      </c>
      <c r="F685" s="3">
        <f t="shared" si="16"/>
        <v>202720</v>
      </c>
    </row>
    <row r="686" spans="5:6" x14ac:dyDescent="0.25">
      <c r="E686" s="2">
        <v>46522</v>
      </c>
      <c r="F686" s="3">
        <f t="shared" si="16"/>
        <v>202720</v>
      </c>
    </row>
    <row r="687" spans="5:6" x14ac:dyDescent="0.25">
      <c r="E687" s="2">
        <v>46523</v>
      </c>
      <c r="F687" s="3">
        <f t="shared" si="16"/>
        <v>202721</v>
      </c>
    </row>
    <row r="688" spans="5:6" x14ac:dyDescent="0.25">
      <c r="E688" s="2">
        <v>46524</v>
      </c>
      <c r="F688" s="3">
        <f t="shared" si="16"/>
        <v>202721</v>
      </c>
    </row>
    <row r="689" spans="5:6" x14ac:dyDescent="0.25">
      <c r="E689" s="2">
        <v>46525</v>
      </c>
      <c r="F689" s="3">
        <f t="shared" si="16"/>
        <v>202721</v>
      </c>
    </row>
    <row r="690" spans="5:6" x14ac:dyDescent="0.25">
      <c r="E690" s="2">
        <v>46526</v>
      </c>
      <c r="F690" s="3">
        <f t="shared" si="16"/>
        <v>202721</v>
      </c>
    </row>
    <row r="691" spans="5:6" x14ac:dyDescent="0.25">
      <c r="E691" s="2">
        <v>46527</v>
      </c>
      <c r="F691" s="3">
        <f t="shared" si="16"/>
        <v>202721</v>
      </c>
    </row>
    <row r="692" spans="5:6" x14ac:dyDescent="0.25">
      <c r="E692" s="2">
        <v>46528</v>
      </c>
      <c r="F692" s="3">
        <f t="shared" si="16"/>
        <v>202721</v>
      </c>
    </row>
    <row r="693" spans="5:6" x14ac:dyDescent="0.25">
      <c r="E693" s="2">
        <v>46529</v>
      </c>
      <c r="F693" s="3">
        <f t="shared" si="16"/>
        <v>202721</v>
      </c>
    </row>
    <row r="694" spans="5:6" x14ac:dyDescent="0.25">
      <c r="E694" s="2">
        <v>46530</v>
      </c>
      <c r="F694" s="3">
        <f t="shared" si="16"/>
        <v>202722</v>
      </c>
    </row>
    <row r="695" spans="5:6" x14ac:dyDescent="0.25">
      <c r="E695" s="2">
        <v>46531</v>
      </c>
      <c r="F695" s="3">
        <f t="shared" si="16"/>
        <v>202722</v>
      </c>
    </row>
    <row r="696" spans="5:6" x14ac:dyDescent="0.25">
      <c r="E696" s="2">
        <v>46532</v>
      </c>
      <c r="F696" s="3">
        <f t="shared" si="16"/>
        <v>202722</v>
      </c>
    </row>
    <row r="697" spans="5:6" x14ac:dyDescent="0.25">
      <c r="E697" s="2">
        <v>46533</v>
      </c>
      <c r="F697" s="3">
        <f t="shared" si="16"/>
        <v>202722</v>
      </c>
    </row>
    <row r="698" spans="5:6" x14ac:dyDescent="0.25">
      <c r="E698" s="2">
        <v>46534</v>
      </c>
      <c r="F698" s="3">
        <f t="shared" si="16"/>
        <v>202722</v>
      </c>
    </row>
    <row r="699" spans="5:6" x14ac:dyDescent="0.25">
      <c r="E699" s="2">
        <v>46535</v>
      </c>
      <c r="F699" s="3">
        <f t="shared" si="16"/>
        <v>202722</v>
      </c>
    </row>
    <row r="700" spans="5:6" x14ac:dyDescent="0.25">
      <c r="E700" s="2">
        <v>46536</v>
      </c>
      <c r="F700" s="3">
        <f t="shared" si="16"/>
        <v>202722</v>
      </c>
    </row>
    <row r="701" spans="5:6" x14ac:dyDescent="0.25">
      <c r="E701" s="2">
        <v>46537</v>
      </c>
      <c r="F701" s="3">
        <f t="shared" si="16"/>
        <v>202723</v>
      </c>
    </row>
    <row r="702" spans="5:6" x14ac:dyDescent="0.25">
      <c r="E702" s="2">
        <v>46538</v>
      </c>
      <c r="F702" s="3">
        <f t="shared" si="16"/>
        <v>202723</v>
      </c>
    </row>
    <row r="703" spans="5:6" x14ac:dyDescent="0.25">
      <c r="E703" s="2">
        <v>46539</v>
      </c>
      <c r="F703" s="3">
        <f t="shared" si="16"/>
        <v>202723</v>
      </c>
    </row>
    <row r="704" spans="5:6" x14ac:dyDescent="0.25">
      <c r="E704" s="2">
        <v>46540</v>
      </c>
      <c r="F704" s="3">
        <f t="shared" si="16"/>
        <v>202723</v>
      </c>
    </row>
    <row r="705" spans="5:6" x14ac:dyDescent="0.25">
      <c r="E705" s="2">
        <v>46541</v>
      </c>
      <c r="F705" s="3">
        <f t="shared" si="16"/>
        <v>202723</v>
      </c>
    </row>
    <row r="706" spans="5:6" x14ac:dyDescent="0.25">
      <c r="E706" s="2">
        <v>46542</v>
      </c>
      <c r="F706" s="3">
        <f t="shared" si="16"/>
        <v>202723</v>
      </c>
    </row>
    <row r="707" spans="5:6" x14ac:dyDescent="0.25">
      <c r="E707" s="2">
        <v>46543</v>
      </c>
      <c r="F707" s="3">
        <f t="shared" ref="F707:F770" si="17">_xlfn.CONCAT(YEAR(E707),TEXT(WEEKNUM(E707,1),"00"))*1</f>
        <v>202723</v>
      </c>
    </row>
    <row r="708" spans="5:6" x14ac:dyDescent="0.25">
      <c r="E708" s="2">
        <v>46544</v>
      </c>
      <c r="F708" s="3">
        <f t="shared" si="17"/>
        <v>202724</v>
      </c>
    </row>
    <row r="709" spans="5:6" x14ac:dyDescent="0.25">
      <c r="E709" s="2">
        <v>46545</v>
      </c>
      <c r="F709" s="3">
        <f t="shared" si="17"/>
        <v>202724</v>
      </c>
    </row>
    <row r="710" spans="5:6" x14ac:dyDescent="0.25">
      <c r="E710" s="2">
        <v>46546</v>
      </c>
      <c r="F710" s="3">
        <f t="shared" si="17"/>
        <v>202724</v>
      </c>
    </row>
    <row r="711" spans="5:6" x14ac:dyDescent="0.25">
      <c r="E711" s="2">
        <v>46547</v>
      </c>
      <c r="F711" s="3">
        <f t="shared" si="17"/>
        <v>202724</v>
      </c>
    </row>
    <row r="712" spans="5:6" x14ac:dyDescent="0.25">
      <c r="E712" s="2">
        <v>46548</v>
      </c>
      <c r="F712" s="3">
        <f t="shared" si="17"/>
        <v>202724</v>
      </c>
    </row>
    <row r="713" spans="5:6" x14ac:dyDescent="0.25">
      <c r="E713" s="2">
        <v>46549</v>
      </c>
      <c r="F713" s="3">
        <f t="shared" si="17"/>
        <v>202724</v>
      </c>
    </row>
    <row r="714" spans="5:6" x14ac:dyDescent="0.25">
      <c r="E714" s="2">
        <v>46550</v>
      </c>
      <c r="F714" s="3">
        <f t="shared" si="17"/>
        <v>202724</v>
      </c>
    </row>
    <row r="715" spans="5:6" x14ac:dyDescent="0.25">
      <c r="E715" s="2">
        <v>46551</v>
      </c>
      <c r="F715" s="3">
        <f t="shared" si="17"/>
        <v>202725</v>
      </c>
    </row>
    <row r="716" spans="5:6" x14ac:dyDescent="0.25">
      <c r="E716" s="2">
        <v>46552</v>
      </c>
      <c r="F716" s="3">
        <f t="shared" si="17"/>
        <v>202725</v>
      </c>
    </row>
    <row r="717" spans="5:6" x14ac:dyDescent="0.25">
      <c r="E717" s="2">
        <v>46553</v>
      </c>
      <c r="F717" s="3">
        <f t="shared" si="17"/>
        <v>202725</v>
      </c>
    </row>
    <row r="718" spans="5:6" x14ac:dyDescent="0.25">
      <c r="E718" s="2">
        <v>46554</v>
      </c>
      <c r="F718" s="3">
        <f t="shared" si="17"/>
        <v>202725</v>
      </c>
    </row>
    <row r="719" spans="5:6" x14ac:dyDescent="0.25">
      <c r="E719" s="2">
        <v>46555</v>
      </c>
      <c r="F719" s="3">
        <f t="shared" si="17"/>
        <v>202725</v>
      </c>
    </row>
    <row r="720" spans="5:6" x14ac:dyDescent="0.25">
      <c r="E720" s="2">
        <v>46556</v>
      </c>
      <c r="F720" s="3">
        <f t="shared" si="17"/>
        <v>202725</v>
      </c>
    </row>
    <row r="721" spans="5:6" x14ac:dyDescent="0.25">
      <c r="E721" s="2">
        <v>46557</v>
      </c>
      <c r="F721" s="3">
        <f t="shared" si="17"/>
        <v>202725</v>
      </c>
    </row>
    <row r="722" spans="5:6" x14ac:dyDescent="0.25">
      <c r="E722" s="2">
        <v>46558</v>
      </c>
      <c r="F722" s="3">
        <f t="shared" si="17"/>
        <v>202726</v>
      </c>
    </row>
    <row r="723" spans="5:6" x14ac:dyDescent="0.25">
      <c r="E723" s="2">
        <v>46559</v>
      </c>
      <c r="F723" s="3">
        <f t="shared" si="17"/>
        <v>202726</v>
      </c>
    </row>
    <row r="724" spans="5:6" x14ac:dyDescent="0.25">
      <c r="E724" s="2">
        <v>46560</v>
      </c>
      <c r="F724" s="3">
        <f t="shared" si="17"/>
        <v>202726</v>
      </c>
    </row>
    <row r="725" spans="5:6" x14ac:dyDescent="0.25">
      <c r="E725" s="2">
        <v>46561</v>
      </c>
      <c r="F725" s="3">
        <f t="shared" si="17"/>
        <v>202726</v>
      </c>
    </row>
    <row r="726" spans="5:6" x14ac:dyDescent="0.25">
      <c r="E726" s="2">
        <v>46562</v>
      </c>
      <c r="F726" s="3">
        <f t="shared" si="17"/>
        <v>202726</v>
      </c>
    </row>
    <row r="727" spans="5:6" x14ac:dyDescent="0.25">
      <c r="E727" s="2">
        <v>46563</v>
      </c>
      <c r="F727" s="3">
        <f t="shared" si="17"/>
        <v>202726</v>
      </c>
    </row>
    <row r="728" spans="5:6" x14ac:dyDescent="0.25">
      <c r="E728" s="2">
        <v>46564</v>
      </c>
      <c r="F728" s="3">
        <f t="shared" si="17"/>
        <v>202726</v>
      </c>
    </row>
    <row r="729" spans="5:6" x14ac:dyDescent="0.25">
      <c r="E729" s="2">
        <v>46565</v>
      </c>
      <c r="F729" s="3">
        <f t="shared" si="17"/>
        <v>202727</v>
      </c>
    </row>
    <row r="730" spans="5:6" x14ac:dyDescent="0.25">
      <c r="E730" s="2">
        <v>46566</v>
      </c>
      <c r="F730" s="3">
        <f t="shared" si="17"/>
        <v>202727</v>
      </c>
    </row>
    <row r="731" spans="5:6" x14ac:dyDescent="0.25">
      <c r="E731" s="2">
        <v>46567</v>
      </c>
      <c r="F731" s="3">
        <f t="shared" si="17"/>
        <v>202727</v>
      </c>
    </row>
    <row r="732" spans="5:6" x14ac:dyDescent="0.25">
      <c r="E732" s="2">
        <v>46568</v>
      </c>
      <c r="F732" s="3">
        <f t="shared" si="17"/>
        <v>202727</v>
      </c>
    </row>
    <row r="733" spans="5:6" x14ac:dyDescent="0.25">
      <c r="E733" s="2">
        <v>46569</v>
      </c>
      <c r="F733" s="3">
        <f t="shared" si="17"/>
        <v>202727</v>
      </c>
    </row>
    <row r="734" spans="5:6" x14ac:dyDescent="0.25">
      <c r="E734" s="2">
        <v>46570</v>
      </c>
      <c r="F734" s="3">
        <f t="shared" si="17"/>
        <v>202727</v>
      </c>
    </row>
    <row r="735" spans="5:6" x14ac:dyDescent="0.25">
      <c r="E735" s="2">
        <v>46571</v>
      </c>
      <c r="F735" s="3">
        <f t="shared" si="17"/>
        <v>202727</v>
      </c>
    </row>
    <row r="736" spans="5:6" x14ac:dyDescent="0.25">
      <c r="E736" s="2">
        <v>46572</v>
      </c>
      <c r="F736" s="3">
        <f t="shared" si="17"/>
        <v>202728</v>
      </c>
    </row>
    <row r="737" spans="5:6" x14ac:dyDescent="0.25">
      <c r="E737" s="2">
        <v>46573</v>
      </c>
      <c r="F737" s="3">
        <f t="shared" si="17"/>
        <v>202728</v>
      </c>
    </row>
    <row r="738" spans="5:6" x14ac:dyDescent="0.25">
      <c r="E738" s="2">
        <v>46574</v>
      </c>
      <c r="F738" s="3">
        <f t="shared" si="17"/>
        <v>202728</v>
      </c>
    </row>
    <row r="739" spans="5:6" x14ac:dyDescent="0.25">
      <c r="E739" s="2">
        <v>46575</v>
      </c>
      <c r="F739" s="3">
        <f t="shared" si="17"/>
        <v>202728</v>
      </c>
    </row>
    <row r="740" spans="5:6" x14ac:dyDescent="0.25">
      <c r="E740" s="2">
        <v>46576</v>
      </c>
      <c r="F740" s="3">
        <f t="shared" si="17"/>
        <v>202728</v>
      </c>
    </row>
    <row r="741" spans="5:6" x14ac:dyDescent="0.25">
      <c r="E741" s="2">
        <v>46577</v>
      </c>
      <c r="F741" s="3">
        <f t="shared" si="17"/>
        <v>202728</v>
      </c>
    </row>
    <row r="742" spans="5:6" x14ac:dyDescent="0.25">
      <c r="E742" s="2">
        <v>46578</v>
      </c>
      <c r="F742" s="3">
        <f t="shared" si="17"/>
        <v>202728</v>
      </c>
    </row>
    <row r="743" spans="5:6" x14ac:dyDescent="0.25">
      <c r="E743" s="2">
        <v>46579</v>
      </c>
      <c r="F743" s="3">
        <f t="shared" si="17"/>
        <v>202729</v>
      </c>
    </row>
    <row r="744" spans="5:6" x14ac:dyDescent="0.25">
      <c r="E744" s="2">
        <v>46580</v>
      </c>
      <c r="F744" s="3">
        <f t="shared" si="17"/>
        <v>202729</v>
      </c>
    </row>
    <row r="745" spans="5:6" x14ac:dyDescent="0.25">
      <c r="E745" s="2">
        <v>46581</v>
      </c>
      <c r="F745" s="3">
        <f t="shared" si="17"/>
        <v>202729</v>
      </c>
    </row>
    <row r="746" spans="5:6" x14ac:dyDescent="0.25">
      <c r="E746" s="2">
        <v>46582</v>
      </c>
      <c r="F746" s="3">
        <f t="shared" si="17"/>
        <v>202729</v>
      </c>
    </row>
    <row r="747" spans="5:6" x14ac:dyDescent="0.25">
      <c r="E747" s="2">
        <v>46583</v>
      </c>
      <c r="F747" s="3">
        <f t="shared" si="17"/>
        <v>202729</v>
      </c>
    </row>
    <row r="748" spans="5:6" x14ac:dyDescent="0.25">
      <c r="E748" s="2">
        <v>46584</v>
      </c>
      <c r="F748" s="3">
        <f t="shared" si="17"/>
        <v>202729</v>
      </c>
    </row>
    <row r="749" spans="5:6" x14ac:dyDescent="0.25">
      <c r="E749" s="2">
        <v>46585</v>
      </c>
      <c r="F749" s="3">
        <f t="shared" si="17"/>
        <v>202729</v>
      </c>
    </row>
    <row r="750" spans="5:6" x14ac:dyDescent="0.25">
      <c r="E750" s="2">
        <v>46586</v>
      </c>
      <c r="F750" s="3">
        <f t="shared" si="17"/>
        <v>202730</v>
      </c>
    </row>
    <row r="751" spans="5:6" x14ac:dyDescent="0.25">
      <c r="E751" s="2">
        <v>46587</v>
      </c>
      <c r="F751" s="3">
        <f t="shared" si="17"/>
        <v>202730</v>
      </c>
    </row>
    <row r="752" spans="5:6" x14ac:dyDescent="0.25">
      <c r="E752" s="2">
        <v>46588</v>
      </c>
      <c r="F752" s="3">
        <f t="shared" si="17"/>
        <v>202730</v>
      </c>
    </row>
    <row r="753" spans="5:6" x14ac:dyDescent="0.25">
      <c r="E753" s="2">
        <v>46589</v>
      </c>
      <c r="F753" s="3">
        <f t="shared" si="17"/>
        <v>202730</v>
      </c>
    </row>
    <row r="754" spans="5:6" x14ac:dyDescent="0.25">
      <c r="E754" s="2">
        <v>46590</v>
      </c>
      <c r="F754" s="3">
        <f t="shared" si="17"/>
        <v>202730</v>
      </c>
    </row>
    <row r="755" spans="5:6" x14ac:dyDescent="0.25">
      <c r="E755" s="2">
        <v>46591</v>
      </c>
      <c r="F755" s="3">
        <f t="shared" si="17"/>
        <v>202730</v>
      </c>
    </row>
    <row r="756" spans="5:6" x14ac:dyDescent="0.25">
      <c r="E756" s="2">
        <v>46592</v>
      </c>
      <c r="F756" s="3">
        <f t="shared" si="17"/>
        <v>202730</v>
      </c>
    </row>
    <row r="757" spans="5:6" x14ac:dyDescent="0.25">
      <c r="E757" s="2">
        <v>46593</v>
      </c>
      <c r="F757" s="3">
        <f t="shared" si="17"/>
        <v>202731</v>
      </c>
    </row>
    <row r="758" spans="5:6" x14ac:dyDescent="0.25">
      <c r="E758" s="2">
        <v>46594</v>
      </c>
      <c r="F758" s="3">
        <f t="shared" si="17"/>
        <v>202731</v>
      </c>
    </row>
    <row r="759" spans="5:6" x14ac:dyDescent="0.25">
      <c r="E759" s="2">
        <v>46595</v>
      </c>
      <c r="F759" s="3">
        <f t="shared" si="17"/>
        <v>202731</v>
      </c>
    </row>
    <row r="760" spans="5:6" x14ac:dyDescent="0.25">
      <c r="E760" s="2">
        <v>46596</v>
      </c>
      <c r="F760" s="3">
        <f t="shared" si="17"/>
        <v>202731</v>
      </c>
    </row>
    <row r="761" spans="5:6" x14ac:dyDescent="0.25">
      <c r="E761" s="2">
        <v>46597</v>
      </c>
      <c r="F761" s="3">
        <f t="shared" si="17"/>
        <v>202731</v>
      </c>
    </row>
    <row r="762" spans="5:6" x14ac:dyDescent="0.25">
      <c r="E762" s="2">
        <v>46598</v>
      </c>
      <c r="F762" s="3">
        <f t="shared" si="17"/>
        <v>202731</v>
      </c>
    </row>
    <row r="763" spans="5:6" x14ac:dyDescent="0.25">
      <c r="E763" s="2">
        <v>46599</v>
      </c>
      <c r="F763" s="3">
        <f t="shared" si="17"/>
        <v>202731</v>
      </c>
    </row>
    <row r="764" spans="5:6" x14ac:dyDescent="0.25">
      <c r="E764" s="2">
        <v>46600</v>
      </c>
      <c r="F764" s="3">
        <f t="shared" si="17"/>
        <v>202732</v>
      </c>
    </row>
    <row r="765" spans="5:6" x14ac:dyDescent="0.25">
      <c r="E765" s="2">
        <v>46601</v>
      </c>
      <c r="F765" s="3">
        <f t="shared" si="17"/>
        <v>202732</v>
      </c>
    </row>
    <row r="766" spans="5:6" x14ac:dyDescent="0.25">
      <c r="E766" s="2">
        <v>46602</v>
      </c>
      <c r="F766" s="3">
        <f t="shared" si="17"/>
        <v>202732</v>
      </c>
    </row>
    <row r="767" spans="5:6" x14ac:dyDescent="0.25">
      <c r="E767" s="2">
        <v>46603</v>
      </c>
      <c r="F767" s="3">
        <f t="shared" si="17"/>
        <v>202732</v>
      </c>
    </row>
    <row r="768" spans="5:6" x14ac:dyDescent="0.25">
      <c r="E768" s="2">
        <v>46604</v>
      </c>
      <c r="F768" s="3">
        <f t="shared" si="17"/>
        <v>202732</v>
      </c>
    </row>
    <row r="769" spans="5:6" x14ac:dyDescent="0.25">
      <c r="E769" s="2">
        <v>46605</v>
      </c>
      <c r="F769" s="3">
        <f t="shared" si="17"/>
        <v>202732</v>
      </c>
    </row>
    <row r="770" spans="5:6" x14ac:dyDescent="0.25">
      <c r="E770" s="2">
        <v>46606</v>
      </c>
      <c r="F770" s="3">
        <f t="shared" si="17"/>
        <v>202732</v>
      </c>
    </row>
    <row r="771" spans="5:6" x14ac:dyDescent="0.25">
      <c r="E771" s="2">
        <v>46607</v>
      </c>
      <c r="F771" s="3">
        <f t="shared" ref="F771:F834" si="18">_xlfn.CONCAT(YEAR(E771),TEXT(WEEKNUM(E771,1),"00"))*1</f>
        <v>202733</v>
      </c>
    </row>
    <row r="772" spans="5:6" x14ac:dyDescent="0.25">
      <c r="E772" s="2">
        <v>46608</v>
      </c>
      <c r="F772" s="3">
        <f t="shared" si="18"/>
        <v>202733</v>
      </c>
    </row>
    <row r="773" spans="5:6" x14ac:dyDescent="0.25">
      <c r="E773" s="2">
        <v>46609</v>
      </c>
      <c r="F773" s="3">
        <f t="shared" si="18"/>
        <v>202733</v>
      </c>
    </row>
    <row r="774" spans="5:6" x14ac:dyDescent="0.25">
      <c r="E774" s="2">
        <v>46610</v>
      </c>
      <c r="F774" s="3">
        <f t="shared" si="18"/>
        <v>202733</v>
      </c>
    </row>
    <row r="775" spans="5:6" x14ac:dyDescent="0.25">
      <c r="E775" s="2">
        <v>46611</v>
      </c>
      <c r="F775" s="3">
        <f t="shared" si="18"/>
        <v>202733</v>
      </c>
    </row>
    <row r="776" spans="5:6" x14ac:dyDescent="0.25">
      <c r="E776" s="2">
        <v>46612</v>
      </c>
      <c r="F776" s="3">
        <f t="shared" si="18"/>
        <v>202733</v>
      </c>
    </row>
    <row r="777" spans="5:6" x14ac:dyDescent="0.25">
      <c r="E777" s="2">
        <v>46613</v>
      </c>
      <c r="F777" s="3">
        <f t="shared" si="18"/>
        <v>202733</v>
      </c>
    </row>
    <row r="778" spans="5:6" x14ac:dyDescent="0.25">
      <c r="E778" s="2">
        <v>46614</v>
      </c>
      <c r="F778" s="3">
        <f t="shared" si="18"/>
        <v>202734</v>
      </c>
    </row>
    <row r="779" spans="5:6" x14ac:dyDescent="0.25">
      <c r="E779" s="2">
        <v>46615</v>
      </c>
      <c r="F779" s="3">
        <f t="shared" si="18"/>
        <v>202734</v>
      </c>
    </row>
    <row r="780" spans="5:6" x14ac:dyDescent="0.25">
      <c r="E780" s="2">
        <v>46616</v>
      </c>
      <c r="F780" s="3">
        <f t="shared" si="18"/>
        <v>202734</v>
      </c>
    </row>
    <row r="781" spans="5:6" x14ac:dyDescent="0.25">
      <c r="E781" s="2">
        <v>46617</v>
      </c>
      <c r="F781" s="3">
        <f t="shared" si="18"/>
        <v>202734</v>
      </c>
    </row>
    <row r="782" spans="5:6" x14ac:dyDescent="0.25">
      <c r="E782" s="2">
        <v>46618</v>
      </c>
      <c r="F782" s="3">
        <f t="shared" si="18"/>
        <v>202734</v>
      </c>
    </row>
    <row r="783" spans="5:6" x14ac:dyDescent="0.25">
      <c r="E783" s="2">
        <v>46619</v>
      </c>
      <c r="F783" s="3">
        <f t="shared" si="18"/>
        <v>202734</v>
      </c>
    </row>
    <row r="784" spans="5:6" x14ac:dyDescent="0.25">
      <c r="E784" s="2">
        <v>46620</v>
      </c>
      <c r="F784" s="3">
        <f t="shared" si="18"/>
        <v>202734</v>
      </c>
    </row>
    <row r="785" spans="5:6" x14ac:dyDescent="0.25">
      <c r="E785" s="2">
        <v>46621</v>
      </c>
      <c r="F785" s="3">
        <f t="shared" si="18"/>
        <v>202735</v>
      </c>
    </row>
    <row r="786" spans="5:6" x14ac:dyDescent="0.25">
      <c r="E786" s="2">
        <v>46622</v>
      </c>
      <c r="F786" s="3">
        <f t="shared" si="18"/>
        <v>202735</v>
      </c>
    </row>
    <row r="787" spans="5:6" x14ac:dyDescent="0.25">
      <c r="E787" s="2">
        <v>46623</v>
      </c>
      <c r="F787" s="3">
        <f t="shared" si="18"/>
        <v>202735</v>
      </c>
    </row>
    <row r="788" spans="5:6" x14ac:dyDescent="0.25">
      <c r="E788" s="2">
        <v>46624</v>
      </c>
      <c r="F788" s="3">
        <f t="shared" si="18"/>
        <v>202735</v>
      </c>
    </row>
    <row r="789" spans="5:6" x14ac:dyDescent="0.25">
      <c r="E789" s="2">
        <v>46625</v>
      </c>
      <c r="F789" s="3">
        <f t="shared" si="18"/>
        <v>202735</v>
      </c>
    </row>
    <row r="790" spans="5:6" x14ac:dyDescent="0.25">
      <c r="E790" s="2">
        <v>46626</v>
      </c>
      <c r="F790" s="3">
        <f t="shared" si="18"/>
        <v>202735</v>
      </c>
    </row>
    <row r="791" spans="5:6" x14ac:dyDescent="0.25">
      <c r="E791" s="2">
        <v>46627</v>
      </c>
      <c r="F791" s="3">
        <f t="shared" si="18"/>
        <v>202735</v>
      </c>
    </row>
    <row r="792" spans="5:6" x14ac:dyDescent="0.25">
      <c r="E792" s="2">
        <v>46628</v>
      </c>
      <c r="F792" s="3">
        <f t="shared" si="18"/>
        <v>202736</v>
      </c>
    </row>
    <row r="793" spans="5:6" x14ac:dyDescent="0.25">
      <c r="E793" s="2">
        <v>46629</v>
      </c>
      <c r="F793" s="3">
        <f t="shared" si="18"/>
        <v>202736</v>
      </c>
    </row>
    <row r="794" spans="5:6" x14ac:dyDescent="0.25">
      <c r="E794" s="2">
        <v>46630</v>
      </c>
      <c r="F794" s="3">
        <f t="shared" si="18"/>
        <v>202736</v>
      </c>
    </row>
    <row r="795" spans="5:6" x14ac:dyDescent="0.25">
      <c r="E795" s="2">
        <v>46631</v>
      </c>
      <c r="F795" s="3">
        <f t="shared" si="18"/>
        <v>202736</v>
      </c>
    </row>
    <row r="796" spans="5:6" x14ac:dyDescent="0.25">
      <c r="E796" s="2">
        <v>46632</v>
      </c>
      <c r="F796" s="3">
        <f t="shared" si="18"/>
        <v>202736</v>
      </c>
    </row>
    <row r="797" spans="5:6" x14ac:dyDescent="0.25">
      <c r="E797" s="2">
        <v>46633</v>
      </c>
      <c r="F797" s="3">
        <f t="shared" si="18"/>
        <v>202736</v>
      </c>
    </row>
    <row r="798" spans="5:6" x14ac:dyDescent="0.25">
      <c r="E798" s="2">
        <v>46634</v>
      </c>
      <c r="F798" s="3">
        <f t="shared" si="18"/>
        <v>202736</v>
      </c>
    </row>
    <row r="799" spans="5:6" x14ac:dyDescent="0.25">
      <c r="E799" s="2">
        <v>46635</v>
      </c>
      <c r="F799" s="3">
        <f t="shared" si="18"/>
        <v>202737</v>
      </c>
    </row>
    <row r="800" spans="5:6" x14ac:dyDescent="0.25">
      <c r="E800" s="2">
        <v>46636</v>
      </c>
      <c r="F800" s="3">
        <f t="shared" si="18"/>
        <v>202737</v>
      </c>
    </row>
    <row r="801" spans="5:6" x14ac:dyDescent="0.25">
      <c r="E801" s="2">
        <v>46637</v>
      </c>
      <c r="F801" s="3">
        <f t="shared" si="18"/>
        <v>202737</v>
      </c>
    </row>
    <row r="802" spans="5:6" x14ac:dyDescent="0.25">
      <c r="E802" s="2">
        <v>46638</v>
      </c>
      <c r="F802" s="3">
        <f t="shared" si="18"/>
        <v>202737</v>
      </c>
    </row>
    <row r="803" spans="5:6" x14ac:dyDescent="0.25">
      <c r="E803" s="2">
        <v>46639</v>
      </c>
      <c r="F803" s="3">
        <f t="shared" si="18"/>
        <v>202737</v>
      </c>
    </row>
    <row r="804" spans="5:6" x14ac:dyDescent="0.25">
      <c r="E804" s="2">
        <v>46640</v>
      </c>
      <c r="F804" s="3">
        <f t="shared" si="18"/>
        <v>202737</v>
      </c>
    </row>
    <row r="805" spans="5:6" x14ac:dyDescent="0.25">
      <c r="E805" s="2">
        <v>46641</v>
      </c>
      <c r="F805" s="3">
        <f t="shared" si="18"/>
        <v>202737</v>
      </c>
    </row>
    <row r="806" spans="5:6" x14ac:dyDescent="0.25">
      <c r="E806" s="2">
        <v>46642</v>
      </c>
      <c r="F806" s="3">
        <f t="shared" si="18"/>
        <v>202738</v>
      </c>
    </row>
    <row r="807" spans="5:6" x14ac:dyDescent="0.25">
      <c r="E807" s="2">
        <v>46643</v>
      </c>
      <c r="F807" s="3">
        <f t="shared" si="18"/>
        <v>202738</v>
      </c>
    </row>
    <row r="808" spans="5:6" x14ac:dyDescent="0.25">
      <c r="E808" s="2">
        <v>46644</v>
      </c>
      <c r="F808" s="3">
        <f t="shared" si="18"/>
        <v>202738</v>
      </c>
    </row>
    <row r="809" spans="5:6" x14ac:dyDescent="0.25">
      <c r="E809" s="2">
        <v>46645</v>
      </c>
      <c r="F809" s="3">
        <f t="shared" si="18"/>
        <v>202738</v>
      </c>
    </row>
    <row r="810" spans="5:6" x14ac:dyDescent="0.25">
      <c r="E810" s="2">
        <v>46646</v>
      </c>
      <c r="F810" s="3">
        <f t="shared" si="18"/>
        <v>202738</v>
      </c>
    </row>
    <row r="811" spans="5:6" x14ac:dyDescent="0.25">
      <c r="E811" s="2">
        <v>46647</v>
      </c>
      <c r="F811" s="3">
        <f t="shared" si="18"/>
        <v>202738</v>
      </c>
    </row>
    <row r="812" spans="5:6" x14ac:dyDescent="0.25">
      <c r="E812" s="2">
        <v>46648</v>
      </c>
      <c r="F812" s="3">
        <f t="shared" si="18"/>
        <v>202738</v>
      </c>
    </row>
    <row r="813" spans="5:6" x14ac:dyDescent="0.25">
      <c r="E813" s="2">
        <v>46649</v>
      </c>
      <c r="F813" s="3">
        <f t="shared" si="18"/>
        <v>202739</v>
      </c>
    </row>
    <row r="814" spans="5:6" x14ac:dyDescent="0.25">
      <c r="E814" s="2">
        <v>46650</v>
      </c>
      <c r="F814" s="3">
        <f t="shared" si="18"/>
        <v>202739</v>
      </c>
    </row>
    <row r="815" spans="5:6" x14ac:dyDescent="0.25">
      <c r="E815" s="2">
        <v>46651</v>
      </c>
      <c r="F815" s="3">
        <f t="shared" si="18"/>
        <v>202739</v>
      </c>
    </row>
    <row r="816" spans="5:6" x14ac:dyDescent="0.25">
      <c r="E816" s="2">
        <v>46652</v>
      </c>
      <c r="F816" s="3">
        <f t="shared" si="18"/>
        <v>202739</v>
      </c>
    </row>
    <row r="817" spans="5:6" x14ac:dyDescent="0.25">
      <c r="E817" s="2">
        <v>46653</v>
      </c>
      <c r="F817" s="3">
        <f t="shared" si="18"/>
        <v>202739</v>
      </c>
    </row>
    <row r="818" spans="5:6" x14ac:dyDescent="0.25">
      <c r="E818" s="2">
        <v>46654</v>
      </c>
      <c r="F818" s="3">
        <f t="shared" si="18"/>
        <v>202739</v>
      </c>
    </row>
    <row r="819" spans="5:6" x14ac:dyDescent="0.25">
      <c r="E819" s="2">
        <v>46655</v>
      </c>
      <c r="F819" s="3">
        <f t="shared" si="18"/>
        <v>202739</v>
      </c>
    </row>
    <row r="820" spans="5:6" x14ac:dyDescent="0.25">
      <c r="E820" s="2">
        <v>46656</v>
      </c>
      <c r="F820" s="3">
        <f t="shared" si="18"/>
        <v>202740</v>
      </c>
    </row>
    <row r="821" spans="5:6" x14ac:dyDescent="0.25">
      <c r="E821" s="2">
        <v>46657</v>
      </c>
      <c r="F821" s="3">
        <f t="shared" si="18"/>
        <v>202740</v>
      </c>
    </row>
    <row r="822" spans="5:6" x14ac:dyDescent="0.25">
      <c r="E822" s="2">
        <v>46658</v>
      </c>
      <c r="F822" s="3">
        <f t="shared" si="18"/>
        <v>202740</v>
      </c>
    </row>
    <row r="823" spans="5:6" x14ac:dyDescent="0.25">
      <c r="E823" s="2">
        <v>46659</v>
      </c>
      <c r="F823" s="3">
        <f t="shared" si="18"/>
        <v>202740</v>
      </c>
    </row>
    <row r="824" spans="5:6" x14ac:dyDescent="0.25">
      <c r="E824" s="2">
        <v>46660</v>
      </c>
      <c r="F824" s="3">
        <f t="shared" si="18"/>
        <v>202740</v>
      </c>
    </row>
    <row r="825" spans="5:6" x14ac:dyDescent="0.25">
      <c r="E825" s="2">
        <v>46661</v>
      </c>
      <c r="F825" s="3">
        <f t="shared" si="18"/>
        <v>202740</v>
      </c>
    </row>
    <row r="826" spans="5:6" x14ac:dyDescent="0.25">
      <c r="E826" s="2">
        <v>46662</v>
      </c>
      <c r="F826" s="3">
        <f t="shared" si="18"/>
        <v>202740</v>
      </c>
    </row>
    <row r="827" spans="5:6" x14ac:dyDescent="0.25">
      <c r="E827" s="2">
        <v>46663</v>
      </c>
      <c r="F827" s="3">
        <f t="shared" si="18"/>
        <v>202741</v>
      </c>
    </row>
    <row r="828" spans="5:6" x14ac:dyDescent="0.25">
      <c r="E828" s="2">
        <v>46664</v>
      </c>
      <c r="F828" s="3">
        <f t="shared" si="18"/>
        <v>202741</v>
      </c>
    </row>
    <row r="829" spans="5:6" x14ac:dyDescent="0.25">
      <c r="E829" s="2">
        <v>46665</v>
      </c>
      <c r="F829" s="3">
        <f t="shared" si="18"/>
        <v>202741</v>
      </c>
    </row>
    <row r="830" spans="5:6" x14ac:dyDescent="0.25">
      <c r="E830" s="2">
        <v>46666</v>
      </c>
      <c r="F830" s="3">
        <f t="shared" si="18"/>
        <v>202741</v>
      </c>
    </row>
    <row r="831" spans="5:6" x14ac:dyDescent="0.25">
      <c r="E831" s="2">
        <v>46667</v>
      </c>
      <c r="F831" s="3">
        <f t="shared" si="18"/>
        <v>202741</v>
      </c>
    </row>
    <row r="832" spans="5:6" x14ac:dyDescent="0.25">
      <c r="E832" s="2">
        <v>46668</v>
      </c>
      <c r="F832" s="3">
        <f t="shared" si="18"/>
        <v>202741</v>
      </c>
    </row>
    <row r="833" spans="5:6" x14ac:dyDescent="0.25">
      <c r="E833" s="2">
        <v>46669</v>
      </c>
      <c r="F833" s="3">
        <f t="shared" si="18"/>
        <v>202741</v>
      </c>
    </row>
    <row r="834" spans="5:6" x14ac:dyDescent="0.25">
      <c r="E834" s="2">
        <v>46670</v>
      </c>
      <c r="F834" s="3">
        <f t="shared" si="18"/>
        <v>202742</v>
      </c>
    </row>
    <row r="835" spans="5:6" x14ac:dyDescent="0.25">
      <c r="E835" s="2">
        <v>46671</v>
      </c>
      <c r="F835" s="3">
        <f t="shared" ref="F835:F898" si="19">_xlfn.CONCAT(YEAR(E835),TEXT(WEEKNUM(E835,1),"00"))*1</f>
        <v>202742</v>
      </c>
    </row>
    <row r="836" spans="5:6" x14ac:dyDescent="0.25">
      <c r="E836" s="2">
        <v>46672</v>
      </c>
      <c r="F836" s="3">
        <f t="shared" si="19"/>
        <v>202742</v>
      </c>
    </row>
    <row r="837" spans="5:6" x14ac:dyDescent="0.25">
      <c r="E837" s="2">
        <v>46673</v>
      </c>
      <c r="F837" s="3">
        <f t="shared" si="19"/>
        <v>202742</v>
      </c>
    </row>
    <row r="838" spans="5:6" x14ac:dyDescent="0.25">
      <c r="E838" s="2">
        <v>46674</v>
      </c>
      <c r="F838" s="3">
        <f t="shared" si="19"/>
        <v>202742</v>
      </c>
    </row>
    <row r="839" spans="5:6" x14ac:dyDescent="0.25">
      <c r="E839" s="2">
        <v>46675</v>
      </c>
      <c r="F839" s="3">
        <f t="shared" si="19"/>
        <v>202742</v>
      </c>
    </row>
    <row r="840" spans="5:6" x14ac:dyDescent="0.25">
      <c r="E840" s="2">
        <v>46676</v>
      </c>
      <c r="F840" s="3">
        <f t="shared" si="19"/>
        <v>202742</v>
      </c>
    </row>
    <row r="841" spans="5:6" x14ac:dyDescent="0.25">
      <c r="E841" s="2">
        <v>46677</v>
      </c>
      <c r="F841" s="3">
        <f t="shared" si="19"/>
        <v>202743</v>
      </c>
    </row>
    <row r="842" spans="5:6" x14ac:dyDescent="0.25">
      <c r="E842" s="2">
        <v>46678</v>
      </c>
      <c r="F842" s="3">
        <f t="shared" si="19"/>
        <v>202743</v>
      </c>
    </row>
    <row r="843" spans="5:6" x14ac:dyDescent="0.25">
      <c r="E843" s="2">
        <v>46679</v>
      </c>
      <c r="F843" s="3">
        <f t="shared" si="19"/>
        <v>202743</v>
      </c>
    </row>
    <row r="844" spans="5:6" x14ac:dyDescent="0.25">
      <c r="E844" s="2">
        <v>46680</v>
      </c>
      <c r="F844" s="3">
        <f t="shared" si="19"/>
        <v>202743</v>
      </c>
    </row>
    <row r="845" spans="5:6" x14ac:dyDescent="0.25">
      <c r="E845" s="2">
        <v>46681</v>
      </c>
      <c r="F845" s="3">
        <f t="shared" si="19"/>
        <v>202743</v>
      </c>
    </row>
    <row r="846" spans="5:6" x14ac:dyDescent="0.25">
      <c r="E846" s="2">
        <v>46682</v>
      </c>
      <c r="F846" s="3">
        <f t="shared" si="19"/>
        <v>202743</v>
      </c>
    </row>
    <row r="847" spans="5:6" x14ac:dyDescent="0.25">
      <c r="E847" s="2">
        <v>46683</v>
      </c>
      <c r="F847" s="3">
        <f t="shared" si="19"/>
        <v>202743</v>
      </c>
    </row>
    <row r="848" spans="5:6" x14ac:dyDescent="0.25">
      <c r="E848" s="2">
        <v>46684</v>
      </c>
      <c r="F848" s="3">
        <f t="shared" si="19"/>
        <v>202744</v>
      </c>
    </row>
    <row r="849" spans="5:6" x14ac:dyDescent="0.25">
      <c r="E849" s="2">
        <v>46685</v>
      </c>
      <c r="F849" s="3">
        <f t="shared" si="19"/>
        <v>202744</v>
      </c>
    </row>
    <row r="850" spans="5:6" x14ac:dyDescent="0.25">
      <c r="E850" s="2">
        <v>46686</v>
      </c>
      <c r="F850" s="3">
        <f t="shared" si="19"/>
        <v>202744</v>
      </c>
    </row>
    <row r="851" spans="5:6" x14ac:dyDescent="0.25">
      <c r="E851" s="2">
        <v>46687</v>
      </c>
      <c r="F851" s="3">
        <f t="shared" si="19"/>
        <v>202744</v>
      </c>
    </row>
    <row r="852" spans="5:6" x14ac:dyDescent="0.25">
      <c r="E852" s="2">
        <v>46688</v>
      </c>
      <c r="F852" s="3">
        <f t="shared" si="19"/>
        <v>202744</v>
      </c>
    </row>
    <row r="853" spans="5:6" x14ac:dyDescent="0.25">
      <c r="E853" s="2">
        <v>46689</v>
      </c>
      <c r="F853" s="3">
        <f t="shared" si="19"/>
        <v>202744</v>
      </c>
    </row>
    <row r="854" spans="5:6" x14ac:dyDescent="0.25">
      <c r="E854" s="2">
        <v>46690</v>
      </c>
      <c r="F854" s="3">
        <f t="shared" si="19"/>
        <v>202744</v>
      </c>
    </row>
    <row r="855" spans="5:6" x14ac:dyDescent="0.25">
      <c r="E855" s="2">
        <v>46691</v>
      </c>
      <c r="F855" s="3">
        <f t="shared" si="19"/>
        <v>202745</v>
      </c>
    </row>
    <row r="856" spans="5:6" x14ac:dyDescent="0.25">
      <c r="E856" s="2">
        <v>46692</v>
      </c>
      <c r="F856" s="3">
        <f t="shared" si="19"/>
        <v>202745</v>
      </c>
    </row>
    <row r="857" spans="5:6" x14ac:dyDescent="0.25">
      <c r="E857" s="2">
        <v>46693</v>
      </c>
      <c r="F857" s="3">
        <f t="shared" si="19"/>
        <v>202745</v>
      </c>
    </row>
    <row r="858" spans="5:6" x14ac:dyDescent="0.25">
      <c r="E858" s="2">
        <v>46694</v>
      </c>
      <c r="F858" s="3">
        <f t="shared" si="19"/>
        <v>202745</v>
      </c>
    </row>
    <row r="859" spans="5:6" x14ac:dyDescent="0.25">
      <c r="E859" s="2">
        <v>46695</v>
      </c>
      <c r="F859" s="3">
        <f t="shared" si="19"/>
        <v>202745</v>
      </c>
    </row>
    <row r="860" spans="5:6" x14ac:dyDescent="0.25">
      <c r="E860" s="2">
        <v>46696</v>
      </c>
      <c r="F860" s="3">
        <f t="shared" si="19"/>
        <v>202745</v>
      </c>
    </row>
    <row r="861" spans="5:6" x14ac:dyDescent="0.25">
      <c r="E861" s="2">
        <v>46697</v>
      </c>
      <c r="F861" s="3">
        <f t="shared" si="19"/>
        <v>202745</v>
      </c>
    </row>
    <row r="862" spans="5:6" x14ac:dyDescent="0.25">
      <c r="E862" s="2">
        <v>46698</v>
      </c>
      <c r="F862" s="3">
        <f t="shared" si="19"/>
        <v>202746</v>
      </c>
    </row>
    <row r="863" spans="5:6" x14ac:dyDescent="0.25">
      <c r="E863" s="2">
        <v>46699</v>
      </c>
      <c r="F863" s="3">
        <f t="shared" si="19"/>
        <v>202746</v>
      </c>
    </row>
    <row r="864" spans="5:6" x14ac:dyDescent="0.25">
      <c r="E864" s="2">
        <v>46700</v>
      </c>
      <c r="F864" s="3">
        <f t="shared" si="19"/>
        <v>202746</v>
      </c>
    </row>
    <row r="865" spans="5:6" x14ac:dyDescent="0.25">
      <c r="E865" s="2">
        <v>46701</v>
      </c>
      <c r="F865" s="3">
        <f t="shared" si="19"/>
        <v>202746</v>
      </c>
    </row>
    <row r="866" spans="5:6" x14ac:dyDescent="0.25">
      <c r="E866" s="2">
        <v>46702</v>
      </c>
      <c r="F866" s="3">
        <f t="shared" si="19"/>
        <v>202746</v>
      </c>
    </row>
    <row r="867" spans="5:6" x14ac:dyDescent="0.25">
      <c r="E867" s="2">
        <v>46703</v>
      </c>
      <c r="F867" s="3">
        <f t="shared" si="19"/>
        <v>202746</v>
      </c>
    </row>
    <row r="868" spans="5:6" x14ac:dyDescent="0.25">
      <c r="E868" s="2">
        <v>46704</v>
      </c>
      <c r="F868" s="3">
        <f t="shared" si="19"/>
        <v>202746</v>
      </c>
    </row>
    <row r="869" spans="5:6" x14ac:dyDescent="0.25">
      <c r="E869" s="2">
        <v>46705</v>
      </c>
      <c r="F869" s="3">
        <f t="shared" si="19"/>
        <v>202747</v>
      </c>
    </row>
    <row r="870" spans="5:6" x14ac:dyDescent="0.25">
      <c r="E870" s="2">
        <v>46706</v>
      </c>
      <c r="F870" s="3">
        <f t="shared" si="19"/>
        <v>202747</v>
      </c>
    </row>
    <row r="871" spans="5:6" x14ac:dyDescent="0.25">
      <c r="E871" s="2">
        <v>46707</v>
      </c>
      <c r="F871" s="3">
        <f t="shared" si="19"/>
        <v>202747</v>
      </c>
    </row>
    <row r="872" spans="5:6" x14ac:dyDescent="0.25">
      <c r="E872" s="2">
        <v>46708</v>
      </c>
      <c r="F872" s="3">
        <f t="shared" si="19"/>
        <v>202747</v>
      </c>
    </row>
    <row r="873" spans="5:6" x14ac:dyDescent="0.25">
      <c r="E873" s="2">
        <v>46709</v>
      </c>
      <c r="F873" s="3">
        <f t="shared" si="19"/>
        <v>202747</v>
      </c>
    </row>
    <row r="874" spans="5:6" x14ac:dyDescent="0.25">
      <c r="E874" s="2">
        <v>46710</v>
      </c>
      <c r="F874" s="3">
        <f t="shared" si="19"/>
        <v>202747</v>
      </c>
    </row>
    <row r="875" spans="5:6" x14ac:dyDescent="0.25">
      <c r="E875" s="2">
        <v>46711</v>
      </c>
      <c r="F875" s="3">
        <f t="shared" si="19"/>
        <v>202747</v>
      </c>
    </row>
    <row r="876" spans="5:6" x14ac:dyDescent="0.25">
      <c r="E876" s="2">
        <v>46712</v>
      </c>
      <c r="F876" s="3">
        <f t="shared" si="19"/>
        <v>202748</v>
      </c>
    </row>
    <row r="877" spans="5:6" x14ac:dyDescent="0.25">
      <c r="E877" s="2">
        <v>46713</v>
      </c>
      <c r="F877" s="3">
        <f t="shared" si="19"/>
        <v>202748</v>
      </c>
    </row>
    <row r="878" spans="5:6" x14ac:dyDescent="0.25">
      <c r="E878" s="2">
        <v>46714</v>
      </c>
      <c r="F878" s="3">
        <f t="shared" si="19"/>
        <v>202748</v>
      </c>
    </row>
    <row r="879" spans="5:6" x14ac:dyDescent="0.25">
      <c r="E879" s="2">
        <v>46715</v>
      </c>
      <c r="F879" s="3">
        <f t="shared" si="19"/>
        <v>202748</v>
      </c>
    </row>
    <row r="880" spans="5:6" x14ac:dyDescent="0.25">
      <c r="E880" s="2">
        <v>46716</v>
      </c>
      <c r="F880" s="3">
        <f t="shared" si="19"/>
        <v>202748</v>
      </c>
    </row>
    <row r="881" spans="5:6" x14ac:dyDescent="0.25">
      <c r="E881" s="2">
        <v>46717</v>
      </c>
      <c r="F881" s="3">
        <f t="shared" si="19"/>
        <v>202748</v>
      </c>
    </row>
    <row r="882" spans="5:6" x14ac:dyDescent="0.25">
      <c r="E882" s="2">
        <v>46718</v>
      </c>
      <c r="F882" s="3">
        <f t="shared" si="19"/>
        <v>202748</v>
      </c>
    </row>
    <row r="883" spans="5:6" x14ac:dyDescent="0.25">
      <c r="E883" s="2">
        <v>46719</v>
      </c>
      <c r="F883" s="3">
        <f t="shared" si="19"/>
        <v>202749</v>
      </c>
    </row>
    <row r="884" spans="5:6" x14ac:dyDescent="0.25">
      <c r="E884" s="2">
        <v>46720</v>
      </c>
      <c r="F884" s="3">
        <f t="shared" si="19"/>
        <v>202749</v>
      </c>
    </row>
    <row r="885" spans="5:6" x14ac:dyDescent="0.25">
      <c r="E885" s="2">
        <v>46721</v>
      </c>
      <c r="F885" s="3">
        <f t="shared" si="19"/>
        <v>202749</v>
      </c>
    </row>
    <row r="886" spans="5:6" x14ac:dyDescent="0.25">
      <c r="E886" s="2">
        <v>46722</v>
      </c>
      <c r="F886" s="3">
        <f t="shared" si="19"/>
        <v>202749</v>
      </c>
    </row>
    <row r="887" spans="5:6" x14ac:dyDescent="0.25">
      <c r="E887" s="2">
        <v>46723</v>
      </c>
      <c r="F887" s="3">
        <f t="shared" si="19"/>
        <v>202749</v>
      </c>
    </row>
    <row r="888" spans="5:6" x14ac:dyDescent="0.25">
      <c r="E888" s="2">
        <v>46724</v>
      </c>
      <c r="F888" s="3">
        <f t="shared" si="19"/>
        <v>202749</v>
      </c>
    </row>
    <row r="889" spans="5:6" x14ac:dyDescent="0.25">
      <c r="E889" s="2">
        <v>46725</v>
      </c>
      <c r="F889" s="3">
        <f t="shared" si="19"/>
        <v>202749</v>
      </c>
    </row>
    <row r="890" spans="5:6" x14ac:dyDescent="0.25">
      <c r="E890" s="2">
        <v>46726</v>
      </c>
      <c r="F890" s="3">
        <f t="shared" si="19"/>
        <v>202750</v>
      </c>
    </row>
    <row r="891" spans="5:6" x14ac:dyDescent="0.25">
      <c r="E891" s="2">
        <v>46727</v>
      </c>
      <c r="F891" s="3">
        <f t="shared" si="19"/>
        <v>202750</v>
      </c>
    </row>
    <row r="892" spans="5:6" x14ac:dyDescent="0.25">
      <c r="E892" s="2">
        <v>46728</v>
      </c>
      <c r="F892" s="3">
        <f t="shared" si="19"/>
        <v>202750</v>
      </c>
    </row>
    <row r="893" spans="5:6" x14ac:dyDescent="0.25">
      <c r="E893" s="2">
        <v>46729</v>
      </c>
      <c r="F893" s="3">
        <f t="shared" si="19"/>
        <v>202750</v>
      </c>
    </row>
    <row r="894" spans="5:6" x14ac:dyDescent="0.25">
      <c r="E894" s="2">
        <v>46730</v>
      </c>
      <c r="F894" s="3">
        <f t="shared" si="19"/>
        <v>202750</v>
      </c>
    </row>
    <row r="895" spans="5:6" x14ac:dyDescent="0.25">
      <c r="E895" s="2">
        <v>46731</v>
      </c>
      <c r="F895" s="3">
        <f t="shared" si="19"/>
        <v>202750</v>
      </c>
    </row>
    <row r="896" spans="5:6" x14ac:dyDescent="0.25">
      <c r="E896" s="2">
        <v>46732</v>
      </c>
      <c r="F896" s="3">
        <f t="shared" si="19"/>
        <v>202750</v>
      </c>
    </row>
    <row r="897" spans="5:6" x14ac:dyDescent="0.25">
      <c r="E897" s="2">
        <v>46733</v>
      </c>
      <c r="F897" s="3">
        <f t="shared" si="19"/>
        <v>202751</v>
      </c>
    </row>
    <row r="898" spans="5:6" x14ac:dyDescent="0.25">
      <c r="E898" s="2">
        <v>46734</v>
      </c>
      <c r="F898" s="3">
        <f t="shared" si="19"/>
        <v>202751</v>
      </c>
    </row>
    <row r="899" spans="5:6" x14ac:dyDescent="0.25">
      <c r="E899" s="2">
        <v>46735</v>
      </c>
      <c r="F899" s="3">
        <f t="shared" ref="F899:F916" si="20">_xlfn.CONCAT(YEAR(E899),TEXT(WEEKNUM(E899,1),"00"))*1</f>
        <v>202751</v>
      </c>
    </row>
    <row r="900" spans="5:6" x14ac:dyDescent="0.25">
      <c r="E900" s="2">
        <v>46736</v>
      </c>
      <c r="F900" s="3">
        <f t="shared" si="20"/>
        <v>202751</v>
      </c>
    </row>
    <row r="901" spans="5:6" x14ac:dyDescent="0.25">
      <c r="E901" s="2">
        <v>46737</v>
      </c>
      <c r="F901" s="3">
        <f t="shared" si="20"/>
        <v>202751</v>
      </c>
    </row>
    <row r="902" spans="5:6" x14ac:dyDescent="0.25">
      <c r="E902" s="2">
        <v>46738</v>
      </c>
      <c r="F902" s="3">
        <f t="shared" si="20"/>
        <v>202751</v>
      </c>
    </row>
    <row r="903" spans="5:6" x14ac:dyDescent="0.25">
      <c r="E903" s="2">
        <v>46739</v>
      </c>
      <c r="F903" s="3">
        <f t="shared" si="20"/>
        <v>202751</v>
      </c>
    </row>
    <row r="904" spans="5:6" x14ac:dyDescent="0.25">
      <c r="E904" s="2">
        <v>46740</v>
      </c>
      <c r="F904" s="3">
        <f t="shared" si="20"/>
        <v>202752</v>
      </c>
    </row>
    <row r="905" spans="5:6" x14ac:dyDescent="0.25">
      <c r="E905" s="2">
        <v>46741</v>
      </c>
      <c r="F905" s="3">
        <f t="shared" si="20"/>
        <v>202752</v>
      </c>
    </row>
    <row r="906" spans="5:6" x14ac:dyDescent="0.25">
      <c r="E906" s="2">
        <v>46742</v>
      </c>
      <c r="F906" s="3">
        <f t="shared" si="20"/>
        <v>202752</v>
      </c>
    </row>
    <row r="907" spans="5:6" x14ac:dyDescent="0.25">
      <c r="E907" s="2">
        <v>46743</v>
      </c>
      <c r="F907" s="3">
        <f t="shared" si="20"/>
        <v>202752</v>
      </c>
    </row>
    <row r="908" spans="5:6" x14ac:dyDescent="0.25">
      <c r="E908" s="2">
        <v>46744</v>
      </c>
      <c r="F908" s="3">
        <f t="shared" si="20"/>
        <v>202752</v>
      </c>
    </row>
    <row r="909" spans="5:6" x14ac:dyDescent="0.25">
      <c r="E909" s="2">
        <v>46745</v>
      </c>
      <c r="F909" s="3">
        <f t="shared" si="20"/>
        <v>202752</v>
      </c>
    </row>
    <row r="910" spans="5:6" x14ac:dyDescent="0.25">
      <c r="E910" s="2">
        <v>46746</v>
      </c>
      <c r="F910" s="3">
        <f t="shared" si="20"/>
        <v>202752</v>
      </c>
    </row>
    <row r="911" spans="5:6" x14ac:dyDescent="0.25">
      <c r="E911" s="2">
        <v>46747</v>
      </c>
      <c r="F911" s="3">
        <f t="shared" si="20"/>
        <v>202753</v>
      </c>
    </row>
    <row r="912" spans="5:6" x14ac:dyDescent="0.25">
      <c r="E912" s="2">
        <v>46748</v>
      </c>
      <c r="F912" s="3">
        <f t="shared" si="20"/>
        <v>202753</v>
      </c>
    </row>
    <row r="913" spans="5:6" x14ac:dyDescent="0.25">
      <c r="E913" s="2">
        <v>46749</v>
      </c>
      <c r="F913" s="3">
        <f t="shared" si="20"/>
        <v>202753</v>
      </c>
    </row>
    <row r="914" spans="5:6" x14ac:dyDescent="0.25">
      <c r="E914" s="2">
        <v>46750</v>
      </c>
      <c r="F914" s="3">
        <f t="shared" si="20"/>
        <v>202753</v>
      </c>
    </row>
    <row r="915" spans="5:6" x14ac:dyDescent="0.25">
      <c r="E915" s="2">
        <v>46751</v>
      </c>
      <c r="F915" s="3">
        <f t="shared" si="20"/>
        <v>202753</v>
      </c>
    </row>
    <row r="916" spans="5:6" x14ac:dyDescent="0.25">
      <c r="E916" s="2">
        <v>46752</v>
      </c>
      <c r="F916" s="3">
        <f t="shared" si="20"/>
        <v>202753</v>
      </c>
    </row>
  </sheetData>
  <phoneticPr fontId="10" type="noConversion"/>
  <pageMargins left="0.7" right="0.7" top="0.75" bottom="0.75" header="0.3" footer="0.3"/>
  <pageSetup orientation="portrait" r:id="rId1"/>
  <ignoredErrors>
    <ignoredError sqref="K4 M5" numberStoredAsText="1"/>
  </ignoredErrors>
  <drawing r:id="rId2"/>
  <tableParts count="4"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Siembras</vt:lpstr>
      <vt:lpstr>Inicio</vt:lpstr>
      <vt:lpstr>Informacion_Camas!Área_de_impresión</vt:lpstr>
      <vt:lpstr>Ruta_Carpeta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Robayo</dc:creator>
  <cp:lastModifiedBy>Honpaull Ortiz Martínez</cp:lastModifiedBy>
  <cp:lastPrinted>2026-09-23T11:40:27Z</cp:lastPrinted>
  <dcterms:created xsi:type="dcterms:W3CDTF">2026-08-28T15:52:38Z</dcterms:created>
  <dcterms:modified xsi:type="dcterms:W3CDTF">2026-10-06T11:11:34Z</dcterms:modified>
</cp:coreProperties>
</file>